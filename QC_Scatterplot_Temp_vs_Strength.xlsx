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Data" sheetId="2" r:id="rId6"/>
    <sheet state="visible" name="Chart" sheetId="3" r:id="rId7"/>
    <sheet state="visible" name="Analysis" sheetId="4" r:id="rId8"/>
  </sheets>
  <definedNames/>
  <calcPr/>
</workbook>
</file>

<file path=xl/sharedStrings.xml><?xml version="1.0" encoding="utf-8"?>
<sst xmlns="http://schemas.openxmlformats.org/spreadsheetml/2006/main" count="29" uniqueCount="29">
  <si>
    <t>Quality Control — Temperature vs. Strength (Scatterplot)</t>
  </si>
  <si>
    <t>Scenario: a plant makes metal parts. QC wants to know how PRODUCTION TEMPERATURE affects</t>
  </si>
  <si>
    <t>the STRENGTH of the parts, so they can optimize the process.</t>
  </si>
  <si>
    <t>Two numerical variables:</t>
  </si>
  <si>
    <t xml:space="preserve">  • X (independent) = Temperature during production (deg C)</t>
  </si>
  <si>
    <t xml:space="preserve">  • Y (dependent)   = Tensile strength of the part</t>
  </si>
  <si>
    <t>A SCATTERPLOT plots each part as a dot (temp, strength). It reveals:</t>
  </si>
  <si>
    <t xml:space="preserve">  • Trend/direction — does strength rise or fall with temperature?</t>
  </si>
  <si>
    <t xml:space="preserve">  • Strength of relationship — tight cloud = strong; scattered = weak.</t>
  </si>
  <si>
    <t xml:space="preserve">  • Outliers — dots far from the pattern (e.g. a bad batch).</t>
  </si>
  <si>
    <t>The 'Analysis' tab adds a CORRELATION coefficient (r) and a fitted trendline so you can</t>
  </si>
  <si>
    <t>quantify the relationship, not just eyeball it. r near +1 = strong positive link.</t>
  </si>
  <si>
    <t>Tab list: 'Data' (40 parts), 'Chart' (scatterplot + trendline), 'Analysis' (r and interpretation).</t>
  </si>
  <si>
    <t>Part #</t>
  </si>
  <si>
    <t>Temperature (C)</t>
  </si>
  <si>
    <t>Strength</t>
  </si>
  <si>
    <t>Scatterplot: Temperature vs Strength</t>
  </si>
  <si>
    <t>Relationship Analysis</t>
  </si>
  <si>
    <t>Measure</t>
  </si>
  <si>
    <t>Value</t>
  </si>
  <si>
    <t>Correlation coefficient (r)</t>
  </si>
  <si>
    <t>R-squared</t>
  </si>
  <si>
    <t>Trendline slope (strength per +1 C)</t>
  </si>
  <si>
    <t>Trendline intercept</t>
  </si>
  <si>
    <t>How to read r:</t>
  </si>
  <si>
    <t xml:space="preserve">  r near +1  -&gt; strong POSITIVE link (higher temp -&gt; higher strength)</t>
  </si>
  <si>
    <t xml:space="preserve">  r near  0  -&gt; little or no linear relationship</t>
  </si>
  <si>
    <t xml:space="preserve">  r near -1  -&gt; strong NEGATIVE link (higher temp -&gt; lower strength)</t>
  </si>
  <si>
    <t>Use the scatter + r together: dots show the pattern &amp; outliers; r quantifies the strength.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</si>
</sst>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6">
    <font>
      <sz val="11.0"/>
      <color theme="1"/>
      <name val="Calibri"/>
      <scheme val="minor"/>
    </font>
    <font>
      <b/>
      <sz val="14.0"/>
      <color rgb="FF614A7A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i/>
      <sz val="10.0"/>
      <color rgb="FF666666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614A7A"/>
        <bgColor rgb="FF614A7A"/>
      </patternFill>
    </fill>
  </fills>
  <borders count="3">
    <border/>
    <border>
      <left/>
      <right/>
      <top/>
      <bottom/>
    </border>
    <border>
      <left style="thin">
        <color rgb="FFCDBFDD"/>
      </left>
      <right style="thin">
        <color rgb="FFCDBFDD"/>
      </right>
      <top style="thin">
        <color rgb="FFCDBFDD"/>
      </top>
      <bottom style="thin">
        <color rgb="FFCDBFD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164" xfId="0" applyAlignment="1" applyBorder="1" applyFont="1" applyNumberFormat="1">
      <alignment horizontal="center" shrinkToFit="0" vertical="bottom" wrapText="0"/>
    </xf>
    <xf borderId="1" fillId="2" fontId="3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Temperature vs Tensile Strength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Parts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(Parts)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Data!$B$2:$B$41</c:f>
            </c:numRef>
          </c:xVal>
          <c:yVal>
            <c:numRef>
              <c:f>Data!$C$2:$C$41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277370"/>
        <c:axId val="490499951"/>
      </c:scatterChart>
      <c:valAx>
        <c:axId val="20152773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Temperature (deg 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90499951"/>
      </c:valAx>
      <c:valAx>
        <c:axId val="490499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Tensile strength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15277370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6172200" cy="4143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/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/>
    </row>
    <row r="10">
      <c r="A10" s="2" t="s">
        <v>6</v>
      </c>
    </row>
    <row r="11">
      <c r="A11" s="2" t="s">
        <v>7</v>
      </c>
    </row>
    <row r="12">
      <c r="A12" s="2" t="s">
        <v>8</v>
      </c>
    </row>
    <row r="13">
      <c r="A13" s="2" t="s">
        <v>9</v>
      </c>
    </row>
    <row r="14">
      <c r="A14" s="2"/>
    </row>
    <row r="15">
      <c r="A15" s="2" t="s">
        <v>10</v>
      </c>
    </row>
    <row r="16">
      <c r="A16" s="2" t="s">
        <v>11</v>
      </c>
    </row>
    <row r="17">
      <c r="A17" s="2"/>
    </row>
    <row r="18">
      <c r="A18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6.0"/>
    <col customWidth="1" min="3" max="3" width="12.0"/>
    <col customWidth="1" min="4" max="26" width="8.71"/>
  </cols>
  <sheetData>
    <row r="1">
      <c r="A1" s="3" t="s">
        <v>13</v>
      </c>
      <c r="B1" s="3" t="s">
        <v>14</v>
      </c>
      <c r="C1" s="3" t="s">
        <v>15</v>
      </c>
    </row>
    <row r="2">
      <c r="A2" s="4">
        <v>1.0</v>
      </c>
      <c r="B2" s="4">
        <v>306.0</v>
      </c>
      <c r="C2" s="5">
        <v>497.0</v>
      </c>
    </row>
    <row r="3">
      <c r="A3" s="4">
        <v>2.0</v>
      </c>
      <c r="B3" s="4">
        <v>300.0</v>
      </c>
      <c r="C3" s="5">
        <v>476.7</v>
      </c>
    </row>
    <row r="4">
      <c r="A4" s="4">
        <v>3.0</v>
      </c>
      <c r="B4" s="4">
        <v>298.0</v>
      </c>
      <c r="C4" s="5">
        <v>496.1</v>
      </c>
    </row>
    <row r="5">
      <c r="A5" s="4">
        <v>4.0</v>
      </c>
      <c r="B5" s="4">
        <v>335.0</v>
      </c>
      <c r="C5" s="5">
        <v>525.0</v>
      </c>
    </row>
    <row r="6">
      <c r="A6" s="4">
        <v>5.0</v>
      </c>
      <c r="B6" s="4">
        <v>247.0</v>
      </c>
      <c r="C6" s="5">
        <v>422.6</v>
      </c>
    </row>
    <row r="7">
      <c r="A7" s="4">
        <v>6.0</v>
      </c>
      <c r="B7" s="4">
        <v>174.0</v>
      </c>
      <c r="C7" s="5">
        <v>321.6</v>
      </c>
    </row>
    <row r="8">
      <c r="A8" s="4">
        <v>7.0</v>
      </c>
      <c r="B8" s="4">
        <v>181.0</v>
      </c>
      <c r="C8" s="5">
        <v>379.2</v>
      </c>
    </row>
    <row r="9">
      <c r="A9" s="4">
        <v>8.0</v>
      </c>
      <c r="B9" s="4">
        <v>275.0</v>
      </c>
      <c r="C9" s="5">
        <v>433.6</v>
      </c>
    </row>
    <row r="10">
      <c r="A10" s="4">
        <v>9.0</v>
      </c>
      <c r="B10" s="4">
        <v>296.0</v>
      </c>
      <c r="C10" s="5">
        <v>438.7</v>
      </c>
    </row>
    <row r="11">
      <c r="A11" s="4">
        <v>10.0</v>
      </c>
      <c r="B11" s="4">
        <v>349.0</v>
      </c>
      <c r="C11" s="5">
        <v>538.7</v>
      </c>
    </row>
    <row r="12">
      <c r="A12" s="4">
        <v>11.0</v>
      </c>
      <c r="B12" s="4">
        <v>197.0</v>
      </c>
      <c r="C12" s="5">
        <v>471.1</v>
      </c>
    </row>
    <row r="13">
      <c r="A13" s="4">
        <v>12.0</v>
      </c>
      <c r="B13" s="4">
        <v>193.0</v>
      </c>
      <c r="C13" s="5">
        <v>396.1</v>
      </c>
    </row>
    <row r="14">
      <c r="A14" s="4">
        <v>13.0</v>
      </c>
      <c r="B14" s="4">
        <v>180.0</v>
      </c>
      <c r="C14" s="5">
        <v>560.0</v>
      </c>
    </row>
    <row r="15">
      <c r="A15" s="4">
        <v>14.0</v>
      </c>
      <c r="B15" s="4">
        <v>252.0</v>
      </c>
      <c r="C15" s="5">
        <v>390.4</v>
      </c>
    </row>
    <row r="16">
      <c r="A16" s="4">
        <v>15.0</v>
      </c>
      <c r="B16" s="4">
        <v>194.0</v>
      </c>
      <c r="C16" s="5">
        <v>360.2</v>
      </c>
    </row>
    <row r="17">
      <c r="A17" s="4">
        <v>16.0</v>
      </c>
      <c r="B17" s="4">
        <v>250.0</v>
      </c>
      <c r="C17" s="5">
        <v>478.5</v>
      </c>
    </row>
    <row r="18">
      <c r="A18" s="4">
        <v>17.0</v>
      </c>
      <c r="B18" s="4">
        <v>190.0</v>
      </c>
      <c r="C18" s="5">
        <v>388.4</v>
      </c>
    </row>
    <row r="19">
      <c r="A19" s="4">
        <v>18.0</v>
      </c>
      <c r="B19" s="4">
        <v>186.0</v>
      </c>
      <c r="C19" s="5">
        <v>389.2</v>
      </c>
    </row>
    <row r="20">
      <c r="A20" s="4">
        <v>19.0</v>
      </c>
      <c r="B20" s="4">
        <v>155.0</v>
      </c>
      <c r="C20" s="5">
        <v>384.9</v>
      </c>
    </row>
    <row r="21" ht="15.75" customHeight="1">
      <c r="A21" s="4">
        <v>20.0</v>
      </c>
      <c r="B21" s="4">
        <v>183.0</v>
      </c>
      <c r="C21" s="5">
        <v>362.4</v>
      </c>
    </row>
    <row r="22" ht="15.75" customHeight="1">
      <c r="A22" s="4">
        <v>21.0</v>
      </c>
      <c r="B22" s="4">
        <v>187.0</v>
      </c>
      <c r="C22" s="5">
        <v>427.7</v>
      </c>
    </row>
    <row r="23" ht="15.75" customHeight="1">
      <c r="A23" s="4">
        <v>22.0</v>
      </c>
      <c r="B23" s="4">
        <v>227.0</v>
      </c>
      <c r="C23" s="5">
        <v>466.3</v>
      </c>
    </row>
    <row r="24" ht="15.75" customHeight="1">
      <c r="A24" s="4">
        <v>23.0</v>
      </c>
      <c r="B24" s="4">
        <v>224.0</v>
      </c>
      <c r="C24" s="5">
        <v>451.4</v>
      </c>
    </row>
    <row r="25" ht="15.75" customHeight="1">
      <c r="A25" s="4">
        <v>24.0</v>
      </c>
      <c r="B25" s="4">
        <v>196.0</v>
      </c>
      <c r="C25" s="5">
        <v>405.3</v>
      </c>
    </row>
    <row r="26" ht="15.75" customHeight="1">
      <c r="A26" s="4">
        <v>25.0</v>
      </c>
      <c r="B26" s="4">
        <v>335.0</v>
      </c>
      <c r="C26" s="5">
        <v>524.3</v>
      </c>
    </row>
    <row r="27" ht="15.75" customHeight="1">
      <c r="A27" s="4">
        <v>26.0</v>
      </c>
      <c r="B27" s="4">
        <v>241.0</v>
      </c>
      <c r="C27" s="5">
        <v>403.2</v>
      </c>
    </row>
    <row r="28" ht="15.75" customHeight="1">
      <c r="A28" s="4">
        <v>27.0</v>
      </c>
      <c r="B28" s="4">
        <v>240.0</v>
      </c>
      <c r="C28" s="5">
        <v>362.9</v>
      </c>
    </row>
    <row r="29" ht="15.75" customHeight="1">
      <c r="A29" s="4">
        <v>28.0</v>
      </c>
      <c r="B29" s="4">
        <v>246.0</v>
      </c>
      <c r="C29" s="5">
        <v>396.1</v>
      </c>
    </row>
    <row r="30" ht="15.75" customHeight="1">
      <c r="A30" s="4">
        <v>29.0</v>
      </c>
      <c r="B30" s="4">
        <v>329.0</v>
      </c>
      <c r="C30" s="5">
        <v>563.3</v>
      </c>
    </row>
    <row r="31" ht="15.75" customHeight="1">
      <c r="A31" s="4">
        <v>30.0</v>
      </c>
      <c r="B31" s="4">
        <v>224.0</v>
      </c>
      <c r="C31" s="5">
        <v>412.4</v>
      </c>
    </row>
    <row r="32" ht="15.75" customHeight="1">
      <c r="A32" s="4">
        <v>31.0</v>
      </c>
      <c r="B32" s="4">
        <v>249.0</v>
      </c>
      <c r="C32" s="5">
        <v>400.1</v>
      </c>
    </row>
    <row r="33" ht="15.75" customHeight="1">
      <c r="A33" s="4">
        <v>32.0</v>
      </c>
      <c r="B33" s="4">
        <v>223.0</v>
      </c>
      <c r="C33" s="5">
        <v>392.9</v>
      </c>
    </row>
    <row r="34" ht="15.75" customHeight="1">
      <c r="A34" s="4">
        <v>33.0</v>
      </c>
      <c r="B34" s="4">
        <v>216.0</v>
      </c>
      <c r="C34" s="5">
        <v>399.2</v>
      </c>
    </row>
    <row r="35" ht="15.75" customHeight="1">
      <c r="A35" s="4">
        <v>34.0</v>
      </c>
      <c r="B35" s="4">
        <v>251.0</v>
      </c>
      <c r="C35" s="5">
        <v>433.5</v>
      </c>
    </row>
    <row r="36" ht="15.75" customHeight="1">
      <c r="A36" s="4">
        <v>35.0</v>
      </c>
      <c r="B36" s="4">
        <v>325.0</v>
      </c>
      <c r="C36" s="5">
        <v>491.3</v>
      </c>
    </row>
    <row r="37" ht="15.75" customHeight="1">
      <c r="A37" s="4">
        <v>36.0</v>
      </c>
      <c r="B37" s="4">
        <v>267.0</v>
      </c>
      <c r="C37" s="5">
        <v>487.2</v>
      </c>
    </row>
    <row r="38" ht="15.75" customHeight="1">
      <c r="A38" s="4">
        <v>37.0</v>
      </c>
      <c r="B38" s="4">
        <v>336.0</v>
      </c>
      <c r="C38" s="5">
        <v>493.8</v>
      </c>
    </row>
    <row r="39" ht="15.75" customHeight="1">
      <c r="A39" s="4">
        <v>38.0</v>
      </c>
      <c r="B39" s="4">
        <v>197.0</v>
      </c>
      <c r="C39" s="5">
        <v>399.0</v>
      </c>
    </row>
    <row r="40" ht="15.75" customHeight="1">
      <c r="A40" s="4">
        <v>39.0</v>
      </c>
      <c r="B40" s="4">
        <v>300.0</v>
      </c>
      <c r="C40" s="5">
        <v>300.0</v>
      </c>
    </row>
    <row r="41" ht="15.75" customHeight="1">
      <c r="A41" s="4">
        <v>40.0</v>
      </c>
      <c r="B41" s="4">
        <v>301.0</v>
      </c>
      <c r="C41" s="5">
        <v>478.5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2.0"/>
    <col customWidth="1" min="3" max="26" width="8.71"/>
  </cols>
  <sheetData>
    <row r="1">
      <c r="A1" s="1" t="s">
        <v>17</v>
      </c>
    </row>
    <row r="3">
      <c r="A3" s="6" t="s">
        <v>18</v>
      </c>
      <c r="B3" s="6" t="s">
        <v>19</v>
      </c>
    </row>
    <row r="4">
      <c r="A4" s="7" t="s">
        <v>20</v>
      </c>
      <c r="B4" s="8">
        <f>CORREL(Data!B2:B41,Data!C2:C41)</f>
        <v>0.5944422473</v>
      </c>
    </row>
    <row r="5">
      <c r="A5" s="7" t="s">
        <v>21</v>
      </c>
      <c r="B5" s="8">
        <f>RSQ(Data!C2:C41,Data!B2:B41)</f>
        <v>0.3533615854</v>
      </c>
    </row>
    <row r="6">
      <c r="A6" s="7" t="s">
        <v>22</v>
      </c>
      <c r="B6" s="8">
        <f>SLOPE(Data!C2:C41,Data!B2:B41)</f>
        <v>0.6778343424</v>
      </c>
    </row>
    <row r="7">
      <c r="A7" s="7" t="s">
        <v>23</v>
      </c>
      <c r="B7" s="8">
        <f>INTERCEPT(Data!C2:C41,Data!B2:B41)</f>
        <v>267.9685639</v>
      </c>
    </row>
    <row r="10">
      <c r="A10" s="7" t="s">
        <v>24</v>
      </c>
    </row>
    <row r="11">
      <c r="A11" s="9" t="s">
        <v>25</v>
      </c>
    </row>
    <row r="12">
      <c r="A12" s="9" t="s">
        <v>26</v>
      </c>
    </row>
    <row r="13">
      <c r="A13" s="9" t="s">
        <v>27</v>
      </c>
    </row>
    <row r="14">
      <c r="A14" s="9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