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5"/>
    <sheet state="visible" name="Data" sheetId="2" r:id="rId6"/>
    <sheet state="visible" name="Statistics" sheetId="3" r:id="rId7"/>
    <sheet state="visible" name="Histogram" sheetId="4" r:id="rId8"/>
    <sheet state="visible" name="Boxplot" sheetId="5" r:id="rId9"/>
    <sheet state="visible" name="Ticket Types" sheetId="6" r:id="rId10"/>
    <sheet state="visible" name="Pareto" sheetId="7" r:id="rId11"/>
  </sheets>
  <definedNames/>
  <calcPr/>
</workbook>
</file>

<file path=xl/sharedStrings.xml><?xml version="1.0" encoding="utf-8"?>
<sst xmlns="http://schemas.openxmlformats.org/spreadsheetml/2006/main" count="135" uniqueCount="60">
  <si>
    <t>Customer Support Response Times — Histogram &amp; Boxplot</t>
  </si>
  <si>
    <t>Scenario: a tech company measures how fast support responds to tickets (hours).</t>
  </si>
  <si>
    <t>Two visuals reveal the shape and spread of the data:</t>
  </si>
  <si>
    <t>HISTOGRAM — bins the response times so you can see the DISTRIBUTION:</t>
  </si>
  <si>
    <t xml:space="preserve"> • A tall bar near 0-2h = most tickets answered quickly.</t>
  </si>
  <si>
    <t xml:space="preserve"> • A long tail to the right = a few slow tickets (right-skewed data).</t>
  </si>
  <si>
    <t xml:space="preserve"> • Two humps (bimodal) would suggest two groups: simple vs complex tickets.</t>
  </si>
  <si>
    <t>BOXPLOT (box-and-whisker) — summarizes CENTER, SPREAD, and OUTLIERS:</t>
  </si>
  <si>
    <t xml:space="preserve"> • The line in the box = median response time.</t>
  </si>
  <si>
    <t xml:space="preserve"> • The box = interquartile range (middle 50% of tickets).</t>
  </si>
  <si>
    <t xml:space="preserve"> • The whiskers = the range of typical response times.</t>
  </si>
  <si>
    <t xml:space="preserve"> • Dots beyond the whiskers = outliers (tickets that took unusually long).</t>
  </si>
  <si>
    <t>Tabs: 'Data' (60 tickets), 'Histogram' (binned + chart), 'Boxplot' (box-and-whisker chart),</t>
  </si>
  <si>
    <t>and 'Statistics' (median, IQR, outlier fences via live formulas).</t>
  </si>
  <si>
    <t>ALSO INCLUDED — 'Ticket Types' tab: categorical data (bug / account / payment / feature)</t>
  </si>
  <si>
    <t>visualized with a tally table, a bar chart (compare counts), and a pie chart (proportions).</t>
  </si>
  <si>
    <t>ALSO — 'Pareto' tab: frequency Pareto + time-weighted Pareto (bars + cumulative % line),</t>
  </si>
  <si>
    <t>showing the 80/20 'vital few' — software bugs are rare but consume the most support time.</t>
  </si>
  <si>
    <t>Ticket #</t>
  </si>
  <si>
    <t>Response Time (hrs)</t>
  </si>
  <si>
    <t>Ticket Type</t>
  </si>
  <si>
    <t>Software Bug</t>
  </si>
  <si>
    <t>Account Issue</t>
  </si>
  <si>
    <t>Payment Problem</t>
  </si>
  <si>
    <t>Feature Request</t>
  </si>
  <si>
    <t>Summary Statistics — Response Time (hrs)</t>
  </si>
  <si>
    <t>Statistic</t>
  </si>
  <si>
    <t>Value</t>
  </si>
  <si>
    <t>Count</t>
  </si>
  <si>
    <t>Mean</t>
  </si>
  <si>
    <t>Median</t>
  </si>
  <si>
    <t>Std deviation</t>
  </si>
  <si>
    <t>Min</t>
  </si>
  <si>
    <t>Max</t>
  </si>
  <si>
    <t>Q1</t>
  </si>
  <si>
    <t>Q3</t>
  </si>
  <si>
    <t>IQR</t>
  </si>
  <si>
    <t>Upper outlier fence (Q3+1.5*IQR)</t>
  </si>
  <si>
    <t># tickets above upper fence</t>
  </si>
  <si>
    <t>Response Time Distribution</t>
  </si>
  <si>
    <t>Bin upper (hrs)</t>
  </si>
  <si>
    <t>Boxplot — Response Time (hrs)</t>
  </si>
  <si>
    <t>The 60 response times are copied below. To draw the box-and-whisker chart:</t>
  </si>
  <si>
    <t>1) Select B6:B65   2) Insert tab &gt; Chart &gt; Statistical &gt; Box and Whisker.</t>
  </si>
  <si>
    <t>(Excel then draws median, IQR box, whiskers, and outlier dots automatically.)</t>
  </si>
  <si>
    <t>Support Ticket Types — Categorical Analysis</t>
  </si>
  <si>
    <t>Percent</t>
  </si>
  <si>
    <t>TOTAL</t>
  </si>
  <si>
    <t>This is the tally table. The bar chart compares counts; the pie chart shows proportions.</t>
  </si>
  <si>
    <t>Pareto Analysis — Focus on the 'Vital Few'</t>
  </si>
  <si>
    <t>Two Pareto charts: (1) by frequency = which issues happen most; (2) by time = which consume most support hours.</t>
  </si>
  <si>
    <t>Pareto by FREQUENCY (how often each issue occurs)</t>
  </si>
  <si>
    <t>Issue Type</t>
  </si>
  <si>
    <t>Cumulative %</t>
  </si>
  <si>
    <t>Password Reset</t>
  </si>
  <si>
    <t>Pareto by TIME (total support hours per issue = count x avg resolve time)</t>
  </si>
  <si>
    <t>Total Hours</t>
  </si>
  <si>
    <t>Insight:</t>
  </si>
  <si>
    <t>Password resets &amp; account issues are most FREQUENT — automate these to cut volume.</t>
  </si>
  <si>
    <t>Software bugs are rarer but consume the MOST TIME — the 'vital few' to fix fast.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</si>
</sst>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1.0"/>
      <color theme="1"/>
      <name val="Calibri"/>
      <scheme val="minor"/>
    </font>
    <font>
      <b/>
      <sz val="14.0"/>
      <color rgb="FF1F5C7A"/>
      <name val="Calibri"/>
    </font>
    <font>
      <sz val="11.0"/>
      <color theme="1"/>
      <name val="Cambria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rgb="FFFFFFFF"/>
      <name val="Cambria"/>
    </font>
    <font>
      <i/>
      <sz val="10.0"/>
      <color rgb="FF666666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1F5C7A"/>
        <bgColor rgb="FF1F5C7A"/>
      </patternFill>
    </fill>
  </fills>
  <borders count="3">
    <border/>
    <border>
      <left/>
      <right/>
      <top/>
      <bottom/>
    </border>
    <border>
      <left style="thin">
        <color rgb="FFBFD4DE"/>
      </left>
      <right style="thin">
        <color rgb="FFBFD4DE"/>
      </right>
      <top style="thin">
        <color rgb="FFBFD4DE"/>
      </top>
      <bottom style="thin">
        <color rgb="FFBFD4DE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1" fillId="2" fontId="5" numFmtId="0" xfId="0" applyAlignment="1" applyBorder="1" applyFill="1" applyFont="1">
      <alignment horizontal="center" shrinkToFit="0" vertical="bottom" wrapText="0"/>
    </xf>
    <xf borderId="2" fillId="0" fontId="6" numFmtId="0" xfId="0" applyAlignment="1" applyBorder="1" applyFont="1">
      <alignment horizontal="center" shrinkToFit="0" vertical="bottom" wrapText="0"/>
    </xf>
    <xf borderId="2" fillId="0" fontId="6" numFmtId="2" xfId="0" applyAlignment="1" applyBorder="1" applyFont="1" applyNumberForma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1" fillId="2" fontId="5" numFmtId="0" xfId="0" applyAlignment="1" applyBorder="1" applyFont="1">
      <alignment shrinkToFit="0" vertical="bottom" wrapText="0"/>
    </xf>
    <xf borderId="0" fillId="0" fontId="6" numFmtId="2" xfId="0" applyAlignment="1" applyFont="1" applyNumberFormat="1">
      <alignment shrinkToFit="0" vertical="bottom" wrapText="0"/>
    </xf>
    <xf borderId="1" fillId="2" fontId="7" numFmtId="0" xfId="0" applyAlignment="1" applyBorder="1" applyFon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6" numFmtId="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Histogram: Response Times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Histogram!$A$4:$A$13</c:f>
            </c:strRef>
          </c:cat>
          <c:val>
            <c:numRef>
              <c:f>Histogram!$B$4:$B$13</c:f>
              <c:numCache/>
            </c:numRef>
          </c:val>
        </c:ser>
        <c:axId val="1485229699"/>
        <c:axId val="1193670305"/>
      </c:barChart>
      <c:catAx>
        <c:axId val="14852296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Response time bin (hrs, upper)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93670305"/>
      </c:catAx>
      <c:valAx>
        <c:axId val="11936703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Number of tickets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85229699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Tickets by Type (count)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'Ticket Types'!$A$4:$A$7</c:f>
            </c:strRef>
          </c:cat>
          <c:val>
            <c:numRef>
              <c:f>'Ticket Types'!$B$4:$B$7</c:f>
              <c:numCache/>
            </c:numRef>
          </c:val>
        </c:ser>
        <c:axId val="316304109"/>
        <c:axId val="135166382"/>
      </c:barChart>
      <c:catAx>
        <c:axId val="316304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5166382"/>
      </c:catAx>
      <c:valAx>
        <c:axId val="135166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Number of tickets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16304109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Ticket Type Proportions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'Ticket Types'!$B$3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'Ticket Types'!$A$4:$A$7</c:f>
            </c:strRef>
          </c:cat>
          <c:val>
            <c:numRef>
              <c:f>'Ticket Types'!$B$4:$B$7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Pareto: Issue Frequency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Pareto!$A$7:$A$10</c:f>
            </c:strRef>
          </c:cat>
          <c:val>
            <c:numRef>
              <c:f>Pareto!$B$7:$B$10</c:f>
              <c:numCache/>
            </c:numRef>
          </c:val>
        </c:ser>
        <c:axId val="238204209"/>
        <c:axId val="2097875786"/>
      </c:barChart>
      <c:lineChart>
        <c:varyColors val="0"/>
        <c:ser>
          <c:idx val="1"/>
          <c:order val="1"/>
          <c:tx>
            <c:v>Cumulative %</c:v>
          </c:tx>
          <c:spPr>
            <a:ln cmpd="sng" w="9525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Pareto!$A$7:$A$10</c:f>
            </c:strRef>
          </c:cat>
          <c:val>
            <c:numRef>
              <c:f>Pareto!$C$7:$C$10</c:f>
              <c:numCache/>
            </c:numRef>
          </c:val>
          <c:smooth val="1"/>
        </c:ser>
        <c:axId val="238204209"/>
        <c:axId val="2097875786"/>
      </c:lineChart>
      <c:catAx>
        <c:axId val="238204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97875786"/>
      </c:catAx>
      <c:valAx>
        <c:axId val="2097875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38204209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Pareto: Support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Hours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Pareto!$A$15:$A$18</c:f>
            </c:strRef>
          </c:cat>
          <c:val>
            <c:numRef>
              <c:f>Pareto!$B$15:$B$18</c:f>
              <c:numCache/>
            </c:numRef>
          </c:val>
        </c:ser>
        <c:axId val="1875698877"/>
        <c:axId val="318186343"/>
      </c:barChart>
      <c:lineChart>
        <c:varyColors val="0"/>
        <c:ser>
          <c:idx val="1"/>
          <c:order val="1"/>
          <c:tx>
            <c:v>Cumulative %</c:v>
          </c:tx>
          <c:spPr>
            <a:ln cmpd="sng" w="9525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Pareto!$A$15:$A$18</c:f>
            </c:strRef>
          </c:cat>
          <c:val>
            <c:numRef>
              <c:f>Pareto!$C$15:$C$18</c:f>
              <c:numCache/>
            </c:numRef>
          </c:val>
          <c:smooth val="1"/>
        </c:ser>
        <c:axId val="1875698877"/>
        <c:axId val="318186343"/>
      </c:lineChart>
      <c:catAx>
        <c:axId val="1875698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18186343"/>
      </c:catAx>
      <c:valAx>
        <c:axId val="318186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Total 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75698877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5810250" cy="3400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</xdr:row>
      <xdr:rowOff>0</xdr:rowOff>
    </xdr:from>
    <xdr:ext cx="4457700" cy="30194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19</xdr:row>
      <xdr:rowOff>0</xdr:rowOff>
    </xdr:from>
    <xdr:ext cx="4457700" cy="30194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0</xdr:rowOff>
    </xdr:from>
    <xdr:ext cx="5153025" cy="30194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19</xdr:row>
      <xdr:rowOff>0</xdr:rowOff>
    </xdr:from>
    <xdr:ext cx="5153025" cy="30194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2">
      <c r="A2" s="2"/>
    </row>
    <row r="3">
      <c r="A3" s="2" t="s">
        <v>1</v>
      </c>
    </row>
    <row r="4">
      <c r="A4" s="2" t="s">
        <v>2</v>
      </c>
    </row>
    <row r="5">
      <c r="A5" s="2"/>
    </row>
    <row r="6">
      <c r="A6" s="2" t="s">
        <v>3</v>
      </c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/>
    </row>
    <row r="11">
      <c r="A11" s="2" t="s">
        <v>7</v>
      </c>
    </row>
    <row r="12">
      <c r="A12" s="2" t="s">
        <v>8</v>
      </c>
    </row>
    <row r="13">
      <c r="A13" s="2" t="s">
        <v>9</v>
      </c>
    </row>
    <row r="14">
      <c r="A14" s="2" t="s">
        <v>10</v>
      </c>
    </row>
    <row r="15">
      <c r="A15" s="2" t="s">
        <v>11</v>
      </c>
    </row>
    <row r="16">
      <c r="A16" s="2"/>
    </row>
    <row r="17">
      <c r="A17" s="2" t="s">
        <v>12</v>
      </c>
    </row>
    <row r="18">
      <c r="A18" s="2" t="s">
        <v>13</v>
      </c>
    </row>
    <row r="20">
      <c r="A20" s="3" t="s">
        <v>14</v>
      </c>
    </row>
    <row r="21" ht="15.75" customHeight="1">
      <c r="A21" s="4" t="s">
        <v>15</v>
      </c>
    </row>
    <row r="22" ht="15.75" customHeight="1"/>
    <row r="23" ht="15.75" customHeight="1">
      <c r="A23" s="3" t="s">
        <v>16</v>
      </c>
    </row>
    <row r="24" ht="15.75" customHeight="1">
      <c r="A24" s="4" t="s">
        <v>17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0.0"/>
    <col customWidth="1" min="3" max="3" width="18.0"/>
    <col customWidth="1" min="4" max="26" width="8.71"/>
  </cols>
  <sheetData>
    <row r="1">
      <c r="A1" s="5" t="s">
        <v>18</v>
      </c>
      <c r="B1" s="5" t="s">
        <v>19</v>
      </c>
      <c r="C1" s="5" t="s">
        <v>20</v>
      </c>
    </row>
    <row r="2">
      <c r="A2" s="6">
        <v>1.0</v>
      </c>
      <c r="B2" s="7">
        <v>1.44</v>
      </c>
      <c r="C2" s="8" t="s">
        <v>21</v>
      </c>
    </row>
    <row r="3">
      <c r="A3" s="6">
        <v>2.0</v>
      </c>
      <c r="B3" s="7">
        <v>1.5</v>
      </c>
      <c r="C3" s="8" t="s">
        <v>22</v>
      </c>
    </row>
    <row r="4">
      <c r="A4" s="6">
        <v>3.0</v>
      </c>
      <c r="B4" s="7">
        <v>2.1</v>
      </c>
      <c r="C4" s="8" t="s">
        <v>21</v>
      </c>
    </row>
    <row r="5">
      <c r="A5" s="6">
        <v>4.0</v>
      </c>
      <c r="B5" s="7">
        <v>3.04</v>
      </c>
      <c r="C5" s="8" t="s">
        <v>23</v>
      </c>
    </row>
    <row r="6">
      <c r="A6" s="6">
        <v>5.0</v>
      </c>
      <c r="B6" s="7">
        <v>1.92</v>
      </c>
      <c r="C6" s="8" t="s">
        <v>23</v>
      </c>
    </row>
    <row r="7">
      <c r="A7" s="6">
        <v>6.0</v>
      </c>
      <c r="B7" s="7">
        <v>1.44</v>
      </c>
      <c r="C7" s="8" t="s">
        <v>21</v>
      </c>
    </row>
    <row r="8">
      <c r="A8" s="6">
        <v>7.0</v>
      </c>
      <c r="B8" s="7">
        <v>1.33</v>
      </c>
      <c r="C8" s="8" t="s">
        <v>21</v>
      </c>
    </row>
    <row r="9">
      <c r="A9" s="6">
        <v>8.0</v>
      </c>
      <c r="B9" s="7">
        <v>3.6</v>
      </c>
      <c r="C9" s="8" t="s">
        <v>23</v>
      </c>
    </row>
    <row r="10">
      <c r="A10" s="6">
        <v>9.0</v>
      </c>
      <c r="B10" s="7">
        <v>6.0</v>
      </c>
      <c r="C10" s="8" t="s">
        <v>21</v>
      </c>
    </row>
    <row r="11">
      <c r="A11" s="6">
        <v>10.0</v>
      </c>
      <c r="B11" s="7">
        <v>1.56</v>
      </c>
      <c r="C11" s="8" t="s">
        <v>21</v>
      </c>
    </row>
    <row r="12">
      <c r="A12" s="6">
        <v>11.0</v>
      </c>
      <c r="B12" s="7">
        <v>1.46</v>
      </c>
      <c r="C12" s="8" t="s">
        <v>24</v>
      </c>
    </row>
    <row r="13">
      <c r="A13" s="6">
        <v>12.0</v>
      </c>
      <c r="B13" s="7">
        <v>1.29</v>
      </c>
      <c r="C13" s="8" t="s">
        <v>22</v>
      </c>
    </row>
    <row r="14">
      <c r="A14" s="6">
        <v>13.0</v>
      </c>
      <c r="B14" s="7">
        <v>3.28</v>
      </c>
      <c r="C14" s="8" t="s">
        <v>23</v>
      </c>
    </row>
    <row r="15">
      <c r="A15" s="6">
        <v>14.0</v>
      </c>
      <c r="B15" s="7">
        <v>1.9</v>
      </c>
      <c r="C15" s="8" t="s">
        <v>22</v>
      </c>
    </row>
    <row r="16">
      <c r="A16" s="6">
        <v>15.0</v>
      </c>
      <c r="B16" s="7">
        <v>12.0</v>
      </c>
      <c r="C16" s="8" t="s">
        <v>23</v>
      </c>
    </row>
    <row r="17">
      <c r="A17" s="6">
        <v>16.0</v>
      </c>
      <c r="B17" s="7">
        <v>0.7</v>
      </c>
      <c r="C17" s="8" t="s">
        <v>21</v>
      </c>
    </row>
    <row r="18">
      <c r="A18" s="6">
        <v>17.0</v>
      </c>
      <c r="B18" s="7">
        <v>1.73</v>
      </c>
      <c r="C18" s="8" t="s">
        <v>23</v>
      </c>
    </row>
    <row r="19">
      <c r="A19" s="6">
        <v>18.0</v>
      </c>
      <c r="B19" s="7">
        <v>15.5</v>
      </c>
      <c r="C19" s="8" t="s">
        <v>23</v>
      </c>
    </row>
    <row r="20">
      <c r="A20" s="6">
        <v>19.0</v>
      </c>
      <c r="B20" s="7">
        <v>3.48</v>
      </c>
      <c r="C20" s="8" t="s">
        <v>22</v>
      </c>
    </row>
    <row r="21" ht="15.75" customHeight="1">
      <c r="A21" s="6">
        <v>20.0</v>
      </c>
      <c r="B21" s="7">
        <v>0.65</v>
      </c>
      <c r="C21" s="8" t="s">
        <v>23</v>
      </c>
    </row>
    <row r="22" ht="15.75" customHeight="1">
      <c r="A22" s="6">
        <v>21.0</v>
      </c>
      <c r="B22" s="7">
        <v>4.31</v>
      </c>
      <c r="C22" s="8" t="s">
        <v>23</v>
      </c>
    </row>
    <row r="23" ht="15.75" customHeight="1">
      <c r="A23" s="6">
        <v>22.0</v>
      </c>
      <c r="B23" s="7">
        <v>1.47</v>
      </c>
      <c r="C23" s="8" t="s">
        <v>21</v>
      </c>
    </row>
    <row r="24" ht="15.75" customHeight="1">
      <c r="A24" s="6">
        <v>23.0</v>
      </c>
      <c r="B24" s="7">
        <v>1.63</v>
      </c>
      <c r="C24" s="8" t="s">
        <v>23</v>
      </c>
    </row>
    <row r="25" ht="15.75" customHeight="1">
      <c r="A25" s="6">
        <v>24.0</v>
      </c>
      <c r="B25" s="7">
        <v>0.72</v>
      </c>
      <c r="C25" s="8" t="s">
        <v>22</v>
      </c>
    </row>
    <row r="26" ht="15.75" customHeight="1">
      <c r="A26" s="6">
        <v>25.0</v>
      </c>
      <c r="B26" s="7">
        <v>1.03</v>
      </c>
      <c r="C26" s="8" t="s">
        <v>21</v>
      </c>
    </row>
    <row r="27" ht="15.75" customHeight="1">
      <c r="A27" s="6">
        <v>26.0</v>
      </c>
      <c r="B27" s="7">
        <v>1.92</v>
      </c>
      <c r="C27" s="8" t="s">
        <v>21</v>
      </c>
    </row>
    <row r="28" ht="15.75" customHeight="1">
      <c r="A28" s="6">
        <v>27.0</v>
      </c>
      <c r="B28" s="7">
        <v>1.03</v>
      </c>
      <c r="C28" s="8" t="s">
        <v>23</v>
      </c>
    </row>
    <row r="29" ht="15.75" customHeight="1">
      <c r="A29" s="6">
        <v>28.0</v>
      </c>
      <c r="B29" s="7">
        <v>1.56</v>
      </c>
      <c r="C29" s="8" t="s">
        <v>22</v>
      </c>
    </row>
    <row r="30" ht="15.75" customHeight="1">
      <c r="A30" s="6">
        <v>29.0</v>
      </c>
      <c r="B30" s="7">
        <v>5.35</v>
      </c>
      <c r="C30" s="8" t="s">
        <v>23</v>
      </c>
    </row>
    <row r="31" ht="15.75" customHeight="1">
      <c r="A31" s="6">
        <v>30.0</v>
      </c>
      <c r="B31" s="7">
        <v>2.09</v>
      </c>
      <c r="C31" s="8" t="s">
        <v>23</v>
      </c>
    </row>
    <row r="32" ht="15.75" customHeight="1">
      <c r="A32" s="6">
        <v>31.0</v>
      </c>
      <c r="B32" s="7">
        <v>0.71</v>
      </c>
      <c r="C32" s="8" t="s">
        <v>23</v>
      </c>
    </row>
    <row r="33" ht="15.75" customHeight="1">
      <c r="A33" s="6">
        <v>32.0</v>
      </c>
      <c r="B33" s="7">
        <v>9.8</v>
      </c>
      <c r="C33" s="8" t="s">
        <v>24</v>
      </c>
    </row>
    <row r="34" ht="15.75" customHeight="1">
      <c r="A34" s="6">
        <v>33.0</v>
      </c>
      <c r="B34" s="7">
        <v>1.66</v>
      </c>
      <c r="C34" s="8" t="s">
        <v>21</v>
      </c>
    </row>
    <row r="35" ht="15.75" customHeight="1">
      <c r="A35" s="6">
        <v>34.0</v>
      </c>
      <c r="B35" s="7">
        <v>4.5</v>
      </c>
      <c r="C35" s="8" t="s">
        <v>23</v>
      </c>
    </row>
    <row r="36" ht="15.75" customHeight="1">
      <c r="A36" s="6">
        <v>35.0</v>
      </c>
      <c r="B36" s="7">
        <v>5.53</v>
      </c>
      <c r="C36" s="8" t="s">
        <v>22</v>
      </c>
    </row>
    <row r="37" ht="15.75" customHeight="1">
      <c r="A37" s="6">
        <v>36.0</v>
      </c>
      <c r="B37" s="7">
        <v>2.01</v>
      </c>
      <c r="C37" s="8" t="s">
        <v>24</v>
      </c>
    </row>
    <row r="38" ht="15.75" customHeight="1">
      <c r="A38" s="6">
        <v>37.0</v>
      </c>
      <c r="B38" s="7">
        <v>0.62</v>
      </c>
      <c r="C38" s="8" t="s">
        <v>23</v>
      </c>
    </row>
    <row r="39" ht="15.75" customHeight="1">
      <c r="A39" s="6">
        <v>38.0</v>
      </c>
      <c r="B39" s="7">
        <v>0.43</v>
      </c>
      <c r="C39" s="8" t="s">
        <v>21</v>
      </c>
    </row>
    <row r="40" ht="15.75" customHeight="1">
      <c r="A40" s="6">
        <v>39.0</v>
      </c>
      <c r="B40" s="7">
        <v>2.42</v>
      </c>
      <c r="C40" s="8" t="s">
        <v>21</v>
      </c>
    </row>
    <row r="41" ht="15.75" customHeight="1">
      <c r="A41" s="6">
        <v>40.0</v>
      </c>
      <c r="B41" s="7">
        <v>1.63</v>
      </c>
      <c r="C41" s="8" t="s">
        <v>21</v>
      </c>
    </row>
    <row r="42" ht="15.75" customHeight="1">
      <c r="A42" s="6">
        <v>41.0</v>
      </c>
      <c r="B42" s="7">
        <v>1.78</v>
      </c>
      <c r="C42" s="8" t="s">
        <v>24</v>
      </c>
    </row>
    <row r="43" ht="15.75" customHeight="1">
      <c r="A43" s="6">
        <v>42.0</v>
      </c>
      <c r="B43" s="7">
        <v>1.4</v>
      </c>
      <c r="C43" s="8" t="s">
        <v>22</v>
      </c>
    </row>
    <row r="44" ht="15.75" customHeight="1">
      <c r="A44" s="6">
        <v>43.0</v>
      </c>
      <c r="B44" s="7">
        <v>1.92</v>
      </c>
      <c r="C44" s="8" t="s">
        <v>23</v>
      </c>
    </row>
    <row r="45" ht="15.75" customHeight="1">
      <c r="A45" s="6">
        <v>44.0</v>
      </c>
      <c r="B45" s="7">
        <v>1.19</v>
      </c>
      <c r="C45" s="8" t="s">
        <v>21</v>
      </c>
    </row>
    <row r="46" ht="15.75" customHeight="1">
      <c r="A46" s="6">
        <v>45.0</v>
      </c>
      <c r="B46" s="7">
        <v>5.93</v>
      </c>
      <c r="C46" s="8" t="s">
        <v>22</v>
      </c>
    </row>
    <row r="47" ht="15.75" customHeight="1">
      <c r="A47" s="6">
        <v>46.0</v>
      </c>
      <c r="B47" s="7">
        <v>1.79</v>
      </c>
      <c r="C47" s="8" t="s">
        <v>21</v>
      </c>
    </row>
    <row r="48" ht="15.75" customHeight="1">
      <c r="A48" s="6">
        <v>47.0</v>
      </c>
      <c r="B48" s="7">
        <v>2.99</v>
      </c>
      <c r="C48" s="8" t="s">
        <v>21</v>
      </c>
    </row>
    <row r="49" ht="15.75" customHeight="1">
      <c r="A49" s="6">
        <v>48.0</v>
      </c>
      <c r="B49" s="7">
        <v>1.34</v>
      </c>
      <c r="C49" s="8" t="s">
        <v>22</v>
      </c>
    </row>
    <row r="50" ht="15.75" customHeight="1">
      <c r="A50" s="6">
        <v>49.0</v>
      </c>
      <c r="B50" s="7">
        <v>0.77</v>
      </c>
      <c r="C50" s="8" t="s">
        <v>22</v>
      </c>
    </row>
    <row r="51" ht="15.75" customHeight="1">
      <c r="A51" s="6">
        <v>50.0</v>
      </c>
      <c r="B51" s="7">
        <v>2.16</v>
      </c>
      <c r="C51" s="8" t="s">
        <v>24</v>
      </c>
    </row>
    <row r="52" ht="15.75" customHeight="1">
      <c r="A52" s="6">
        <v>51.0</v>
      </c>
      <c r="B52" s="7">
        <v>7.31</v>
      </c>
      <c r="C52" s="8" t="s">
        <v>23</v>
      </c>
    </row>
    <row r="53" ht="15.75" customHeight="1">
      <c r="A53" s="6">
        <v>52.0</v>
      </c>
      <c r="B53" s="7">
        <v>2.16</v>
      </c>
      <c r="C53" s="8" t="s">
        <v>24</v>
      </c>
    </row>
    <row r="54" ht="15.75" customHeight="1">
      <c r="A54" s="6">
        <v>53.0</v>
      </c>
      <c r="B54" s="7">
        <v>0.77</v>
      </c>
      <c r="C54" s="8" t="s">
        <v>23</v>
      </c>
    </row>
    <row r="55" ht="15.75" customHeight="1">
      <c r="A55" s="6">
        <v>54.0</v>
      </c>
      <c r="B55" s="7">
        <v>6.39</v>
      </c>
      <c r="C55" s="8" t="s">
        <v>24</v>
      </c>
    </row>
    <row r="56" ht="15.75" customHeight="1">
      <c r="A56" s="6">
        <v>55.0</v>
      </c>
      <c r="B56" s="7">
        <v>0.82</v>
      </c>
      <c r="C56" s="8" t="s">
        <v>23</v>
      </c>
    </row>
    <row r="57" ht="15.75" customHeight="1">
      <c r="A57" s="6">
        <v>56.0</v>
      </c>
      <c r="B57" s="7">
        <v>1.46</v>
      </c>
      <c r="C57" s="8" t="s">
        <v>21</v>
      </c>
    </row>
    <row r="58" ht="15.75" customHeight="1">
      <c r="A58" s="6">
        <v>57.0</v>
      </c>
      <c r="B58" s="7">
        <v>1.59</v>
      </c>
      <c r="C58" s="8" t="s">
        <v>23</v>
      </c>
    </row>
    <row r="59" ht="15.75" customHeight="1">
      <c r="A59" s="6">
        <v>58.0</v>
      </c>
      <c r="B59" s="7">
        <v>1.33</v>
      </c>
      <c r="C59" s="8" t="s">
        <v>24</v>
      </c>
    </row>
    <row r="60" ht="15.75" customHeight="1">
      <c r="A60" s="6">
        <v>59.0</v>
      </c>
      <c r="B60" s="7">
        <v>1.72</v>
      </c>
      <c r="C60" s="8" t="s">
        <v>24</v>
      </c>
    </row>
    <row r="61" ht="15.75" customHeight="1">
      <c r="A61" s="6">
        <v>60.0</v>
      </c>
      <c r="B61" s="7">
        <v>3.74</v>
      </c>
      <c r="C61" s="8" t="s">
        <v>22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2.0"/>
    <col customWidth="1" min="3" max="26" width="8.71"/>
  </cols>
  <sheetData>
    <row r="1">
      <c r="A1" s="1" t="s">
        <v>25</v>
      </c>
    </row>
    <row r="3">
      <c r="A3" s="9" t="s">
        <v>26</v>
      </c>
      <c r="B3" s="9" t="s">
        <v>27</v>
      </c>
    </row>
    <row r="4">
      <c r="A4" s="3" t="s">
        <v>28</v>
      </c>
      <c r="B4" s="10">
        <f>COUNT(Data!B2:B61)</f>
        <v>60</v>
      </c>
    </row>
    <row r="5">
      <c r="A5" s="3" t="s">
        <v>29</v>
      </c>
      <c r="B5" s="10">
        <f>AVERAGE(Data!B2:B61)</f>
        <v>2.748333333</v>
      </c>
    </row>
    <row r="6">
      <c r="A6" s="3" t="s">
        <v>30</v>
      </c>
      <c r="B6" s="10">
        <f>MEDIAN(Data!B2:B61)</f>
        <v>1.725</v>
      </c>
    </row>
    <row r="7">
      <c r="A7" s="3" t="s">
        <v>31</v>
      </c>
      <c r="B7" s="10">
        <f>STDEV(Data!B2:B61)</f>
        <v>2.78827215</v>
      </c>
    </row>
    <row r="8">
      <c r="A8" s="3" t="s">
        <v>32</v>
      </c>
      <c r="B8" s="10">
        <f>MIN(Data!B2:B61)</f>
        <v>0.43</v>
      </c>
    </row>
    <row r="9">
      <c r="A9" s="3" t="s">
        <v>33</v>
      </c>
      <c r="B9" s="10">
        <f>MAX(Data!B2:B61)</f>
        <v>15.5</v>
      </c>
    </row>
    <row r="10">
      <c r="A10" s="3" t="s">
        <v>34</v>
      </c>
      <c r="B10" s="10">
        <f>QUARTILE(Data!B2:B61,1)</f>
        <v>1.3375</v>
      </c>
    </row>
    <row r="11">
      <c r="A11" s="3" t="s">
        <v>35</v>
      </c>
      <c r="B11" s="10">
        <f>QUARTILE(Data!B2:B61,3)</f>
        <v>3.1</v>
      </c>
    </row>
    <row r="12">
      <c r="A12" s="3" t="s">
        <v>36</v>
      </c>
      <c r="B12" s="10">
        <f>QUARTILE(Data!B2:B61,3)-QUARTILE(Data!B2:B61,1)</f>
        <v>1.7625</v>
      </c>
    </row>
    <row r="13">
      <c r="A13" s="3" t="s">
        <v>37</v>
      </c>
      <c r="B13" s="10">
        <f>QUARTILE(Data!B2:B61,3)+1.5*(QUARTILE(Data!B2:B61,3)-QUARTILE(Data!B2:B61,1))</f>
        <v>5.74375</v>
      </c>
    </row>
    <row r="14">
      <c r="A14" s="3" t="s">
        <v>38</v>
      </c>
      <c r="B14" s="10">
        <f>COUNTIF(Data!B2:B61,"&gt;"&amp;(QUARTILE(Data!B2:B61,3)+1.5*(QUARTILE(Data!B2:B61,3)-QUARTILE(Data!B2:B61,1))))</f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0.0"/>
    <col customWidth="1" min="3" max="26" width="8.71"/>
  </cols>
  <sheetData>
    <row r="1">
      <c r="A1" s="1" t="s">
        <v>39</v>
      </c>
    </row>
    <row r="3">
      <c r="A3" s="9" t="s">
        <v>40</v>
      </c>
      <c r="B3" s="9" t="s">
        <v>28</v>
      </c>
    </row>
    <row r="4">
      <c r="A4" s="4">
        <v>1.0</v>
      </c>
      <c r="B4" s="4">
        <f>COUNTIFS(Data!B2:B61,"&gt;"&amp;-1000000000,Data!B2:B61,"&lt;="&amp;1)</f>
        <v>9</v>
      </c>
    </row>
    <row r="5">
      <c r="A5" s="4">
        <v>2.0</v>
      </c>
      <c r="B5" s="4">
        <f>COUNTIFS(Data!B2:B61,"&gt;"&amp;1,Data!B2:B61,"&lt;="&amp;2)</f>
        <v>28</v>
      </c>
    </row>
    <row r="6">
      <c r="A6" s="4">
        <v>3.0</v>
      </c>
      <c r="B6" s="4">
        <f>COUNTIFS(Data!B2:B61,"&gt;"&amp;2,Data!B2:B61,"&lt;="&amp;3)</f>
        <v>7</v>
      </c>
    </row>
    <row r="7">
      <c r="A7" s="4">
        <v>4.0</v>
      </c>
      <c r="B7" s="4">
        <f>COUNTIFS(Data!B2:B61,"&gt;"&amp;3,Data!B2:B61,"&lt;="&amp;4)</f>
        <v>5</v>
      </c>
    </row>
    <row r="8">
      <c r="A8" s="4">
        <v>5.0</v>
      </c>
      <c r="B8" s="4">
        <f>COUNTIFS(Data!B2:B61,"&gt;"&amp;4,Data!B2:B61,"&lt;="&amp;5)</f>
        <v>2</v>
      </c>
    </row>
    <row r="9">
      <c r="A9" s="4">
        <v>6.0</v>
      </c>
      <c r="B9" s="4">
        <f>COUNTIFS(Data!B2:B61,"&gt;"&amp;5,Data!B2:B61,"&lt;="&amp;6)</f>
        <v>4</v>
      </c>
    </row>
    <row r="10">
      <c r="A10" s="4">
        <v>8.0</v>
      </c>
      <c r="B10" s="4">
        <f>COUNTIFS(Data!B2:B61,"&gt;"&amp;6,Data!B2:B61,"&lt;="&amp;8)</f>
        <v>2</v>
      </c>
    </row>
    <row r="11">
      <c r="A11" s="4">
        <v>10.0</v>
      </c>
      <c r="B11" s="4">
        <f>COUNTIFS(Data!B2:B61,"&gt;"&amp;8,Data!B2:B61,"&lt;="&amp;10)</f>
        <v>1</v>
      </c>
    </row>
    <row r="12">
      <c r="A12" s="4">
        <v>12.0</v>
      </c>
      <c r="B12" s="4">
        <f>COUNTIFS(Data!B2:B61,"&gt;"&amp;10,Data!B2:B61,"&lt;="&amp;12)</f>
        <v>1</v>
      </c>
    </row>
    <row r="13">
      <c r="A13" s="4">
        <v>16.0</v>
      </c>
      <c r="B13" s="4">
        <f>COUNTIFS(Data!B2:B61,"&gt;"&amp;12,Data!B2:B61,"&lt;="&amp;16)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26" width="8.71"/>
  </cols>
  <sheetData>
    <row r="1">
      <c r="A1" s="1" t="s">
        <v>41</v>
      </c>
    </row>
    <row r="3">
      <c r="A3" s="3" t="s">
        <v>42</v>
      </c>
    </row>
    <row r="4">
      <c r="A4" s="4" t="s">
        <v>43</v>
      </c>
    </row>
    <row r="5">
      <c r="A5" s="4" t="s">
        <v>44</v>
      </c>
    </row>
    <row r="6">
      <c r="A6" s="11" t="s">
        <v>19</v>
      </c>
      <c r="B6" s="11" t="s">
        <v>19</v>
      </c>
    </row>
    <row r="7">
      <c r="B7" s="10">
        <v>1.44</v>
      </c>
    </row>
    <row r="8">
      <c r="B8" s="10">
        <v>1.5</v>
      </c>
    </row>
    <row r="9">
      <c r="B9" s="10">
        <v>2.1</v>
      </c>
    </row>
    <row r="10">
      <c r="B10" s="10">
        <v>3.04</v>
      </c>
    </row>
    <row r="11">
      <c r="B11" s="10">
        <v>1.92</v>
      </c>
    </row>
    <row r="12">
      <c r="B12" s="10">
        <v>1.44</v>
      </c>
    </row>
    <row r="13">
      <c r="B13" s="10">
        <v>1.33</v>
      </c>
    </row>
    <row r="14">
      <c r="B14" s="10">
        <v>3.6</v>
      </c>
    </row>
    <row r="15">
      <c r="B15" s="10">
        <v>6.0</v>
      </c>
    </row>
    <row r="16">
      <c r="B16" s="10">
        <v>1.56</v>
      </c>
    </row>
    <row r="17">
      <c r="B17" s="10">
        <v>1.46</v>
      </c>
    </row>
    <row r="18">
      <c r="B18" s="10">
        <v>1.29</v>
      </c>
    </row>
    <row r="19">
      <c r="B19" s="10">
        <v>3.28</v>
      </c>
    </row>
    <row r="20">
      <c r="B20" s="10">
        <v>1.9</v>
      </c>
    </row>
    <row r="21" ht="15.75" customHeight="1">
      <c r="B21" s="10">
        <v>12.0</v>
      </c>
    </row>
    <row r="22" ht="15.75" customHeight="1">
      <c r="B22" s="10">
        <v>0.7</v>
      </c>
    </row>
    <row r="23" ht="15.75" customHeight="1">
      <c r="B23" s="10">
        <v>1.73</v>
      </c>
    </row>
    <row r="24" ht="15.75" customHeight="1">
      <c r="B24" s="10">
        <v>15.5</v>
      </c>
    </row>
    <row r="25" ht="15.75" customHeight="1">
      <c r="B25" s="10">
        <v>3.48</v>
      </c>
    </row>
    <row r="26" ht="15.75" customHeight="1">
      <c r="B26" s="10">
        <v>0.65</v>
      </c>
    </row>
    <row r="27" ht="15.75" customHeight="1">
      <c r="B27" s="10">
        <v>4.31</v>
      </c>
    </row>
    <row r="28" ht="15.75" customHeight="1">
      <c r="B28" s="10">
        <v>1.47</v>
      </c>
    </row>
    <row r="29" ht="15.75" customHeight="1">
      <c r="B29" s="10">
        <v>1.63</v>
      </c>
    </row>
    <row r="30" ht="15.75" customHeight="1">
      <c r="B30" s="10">
        <v>0.72</v>
      </c>
    </row>
    <row r="31" ht="15.75" customHeight="1">
      <c r="B31" s="10">
        <v>1.03</v>
      </c>
    </row>
    <row r="32" ht="15.75" customHeight="1">
      <c r="B32" s="10">
        <v>1.92</v>
      </c>
    </row>
    <row r="33" ht="15.75" customHeight="1">
      <c r="B33" s="10">
        <v>1.03</v>
      </c>
    </row>
    <row r="34" ht="15.75" customHeight="1">
      <c r="B34" s="10">
        <v>1.56</v>
      </c>
    </row>
    <row r="35" ht="15.75" customHeight="1">
      <c r="B35" s="10">
        <v>5.35</v>
      </c>
    </row>
    <row r="36" ht="15.75" customHeight="1">
      <c r="B36" s="10">
        <v>2.09</v>
      </c>
    </row>
    <row r="37" ht="15.75" customHeight="1">
      <c r="B37" s="10">
        <v>0.71</v>
      </c>
    </row>
    <row r="38" ht="15.75" customHeight="1">
      <c r="B38" s="10">
        <v>9.8</v>
      </c>
    </row>
    <row r="39" ht="15.75" customHeight="1">
      <c r="B39" s="10">
        <v>1.66</v>
      </c>
    </row>
    <row r="40" ht="15.75" customHeight="1">
      <c r="B40" s="10">
        <v>4.5</v>
      </c>
    </row>
    <row r="41" ht="15.75" customHeight="1">
      <c r="B41" s="10">
        <v>5.53</v>
      </c>
    </row>
    <row r="42" ht="15.75" customHeight="1">
      <c r="B42" s="10">
        <v>2.01</v>
      </c>
    </row>
    <row r="43" ht="15.75" customHeight="1">
      <c r="B43" s="10">
        <v>0.62</v>
      </c>
    </row>
    <row r="44" ht="15.75" customHeight="1">
      <c r="B44" s="10">
        <v>0.43</v>
      </c>
    </row>
    <row r="45" ht="15.75" customHeight="1">
      <c r="B45" s="10">
        <v>2.42</v>
      </c>
    </row>
    <row r="46" ht="15.75" customHeight="1">
      <c r="B46" s="10">
        <v>1.63</v>
      </c>
    </row>
    <row r="47" ht="15.75" customHeight="1">
      <c r="B47" s="10">
        <v>1.78</v>
      </c>
    </row>
    <row r="48" ht="15.75" customHeight="1">
      <c r="B48" s="10">
        <v>1.4</v>
      </c>
    </row>
    <row r="49" ht="15.75" customHeight="1">
      <c r="B49" s="10">
        <v>1.92</v>
      </c>
    </row>
    <row r="50" ht="15.75" customHeight="1">
      <c r="B50" s="10">
        <v>1.19</v>
      </c>
    </row>
    <row r="51" ht="15.75" customHeight="1">
      <c r="B51" s="10">
        <v>5.93</v>
      </c>
    </row>
    <row r="52" ht="15.75" customHeight="1">
      <c r="B52" s="10">
        <v>1.79</v>
      </c>
    </row>
    <row r="53" ht="15.75" customHeight="1">
      <c r="B53" s="10">
        <v>2.99</v>
      </c>
    </row>
    <row r="54" ht="15.75" customHeight="1">
      <c r="B54" s="10">
        <v>1.34</v>
      </c>
    </row>
    <row r="55" ht="15.75" customHeight="1">
      <c r="B55" s="10">
        <v>0.77</v>
      </c>
    </row>
    <row r="56" ht="15.75" customHeight="1">
      <c r="B56" s="10">
        <v>2.16</v>
      </c>
    </row>
    <row r="57" ht="15.75" customHeight="1">
      <c r="B57" s="10">
        <v>7.31</v>
      </c>
    </row>
    <row r="58" ht="15.75" customHeight="1">
      <c r="B58" s="10">
        <v>2.16</v>
      </c>
    </row>
    <row r="59" ht="15.75" customHeight="1">
      <c r="B59" s="10">
        <v>0.77</v>
      </c>
    </row>
    <row r="60" ht="15.75" customHeight="1">
      <c r="B60" s="10">
        <v>6.39</v>
      </c>
    </row>
    <row r="61" ht="15.75" customHeight="1">
      <c r="B61" s="10">
        <v>0.82</v>
      </c>
    </row>
    <row r="62" ht="15.75" customHeight="1">
      <c r="B62" s="10">
        <v>1.46</v>
      </c>
    </row>
    <row r="63" ht="15.75" customHeight="1">
      <c r="B63" s="10">
        <v>1.59</v>
      </c>
    </row>
    <row r="64" ht="15.75" customHeight="1">
      <c r="B64" s="10">
        <v>1.33</v>
      </c>
    </row>
    <row r="65" ht="15.75" customHeight="1">
      <c r="B65" s="10">
        <v>1.72</v>
      </c>
    </row>
    <row r="66" ht="15.75" customHeight="1">
      <c r="B66" s="10">
        <v>3.74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3" width="10.0"/>
    <col customWidth="1" min="4" max="26" width="8.71"/>
  </cols>
  <sheetData>
    <row r="1">
      <c r="A1" s="1" t="s">
        <v>45</v>
      </c>
    </row>
    <row r="3">
      <c r="A3" s="9" t="s">
        <v>20</v>
      </c>
      <c r="B3" s="9" t="s">
        <v>28</v>
      </c>
      <c r="C3" s="9" t="s">
        <v>46</v>
      </c>
    </row>
    <row r="4">
      <c r="A4" s="4" t="s">
        <v>21</v>
      </c>
      <c r="B4" s="4">
        <f>COUNTIF(Data!C2:C61,"Software Bug")</f>
        <v>18</v>
      </c>
      <c r="C4" s="12">
        <f>COUNTIF(Data!C2:C61,"Software Bug")/COUNTA(Data!C2:C61)</f>
        <v>0.3</v>
      </c>
    </row>
    <row r="5">
      <c r="A5" s="4" t="s">
        <v>22</v>
      </c>
      <c r="B5" s="4">
        <f>COUNTIF(Data!C2:C61,"Account Issue")</f>
        <v>12</v>
      </c>
      <c r="C5" s="12">
        <f>COUNTIF(Data!C2:C61,"Account Issue")/COUNTA(Data!C2:C61)</f>
        <v>0.2</v>
      </c>
    </row>
    <row r="6">
      <c r="A6" s="4" t="s">
        <v>23</v>
      </c>
      <c r="B6" s="4">
        <f>COUNTIF(Data!C2:C61,"Payment Problem")</f>
        <v>21</v>
      </c>
      <c r="C6" s="12">
        <f>COUNTIF(Data!C2:C61,"Payment Problem")/COUNTA(Data!C2:C61)</f>
        <v>0.35</v>
      </c>
    </row>
    <row r="7">
      <c r="A7" s="4" t="s">
        <v>24</v>
      </c>
      <c r="B7" s="4">
        <f>COUNTIF(Data!C2:C61,"Feature Request")</f>
        <v>9</v>
      </c>
      <c r="C7" s="12">
        <f>COUNTIF(Data!C2:C61,"Feature Request")/COUNTA(Data!C2:C61)</f>
        <v>0.15</v>
      </c>
    </row>
    <row r="8">
      <c r="A8" s="3" t="s">
        <v>47</v>
      </c>
      <c r="B8" s="3">
        <f t="shared" ref="B8:C8" si="1">SUM(B4:B7)</f>
        <v>60</v>
      </c>
      <c r="C8" s="13">
        <f t="shared" si="1"/>
        <v>1</v>
      </c>
    </row>
    <row r="10">
      <c r="A10" s="14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2.0"/>
    <col customWidth="1" min="3" max="3" width="14.0"/>
    <col customWidth="1" min="4" max="26" width="8.71"/>
  </cols>
  <sheetData>
    <row r="1">
      <c r="A1" s="1" t="s">
        <v>49</v>
      </c>
    </row>
    <row r="2">
      <c r="A2" s="14" t="s">
        <v>50</v>
      </c>
    </row>
    <row r="4">
      <c r="A4" s="3" t="s">
        <v>51</v>
      </c>
    </row>
    <row r="6">
      <c r="A6" s="9" t="s">
        <v>52</v>
      </c>
      <c r="B6" s="9" t="s">
        <v>28</v>
      </c>
      <c r="C6" s="9" t="s">
        <v>53</v>
      </c>
    </row>
    <row r="7">
      <c r="A7" s="4" t="s">
        <v>54</v>
      </c>
      <c r="B7" s="4">
        <v>40.0</v>
      </c>
      <c r="C7" s="15">
        <f t="shared" ref="C7:C10" si="1">SUM($B$7:B7)/SUM($B$7:$B$10)</f>
        <v>0.4210526316</v>
      </c>
    </row>
    <row r="8">
      <c r="A8" s="4" t="s">
        <v>22</v>
      </c>
      <c r="B8" s="4">
        <v>30.0</v>
      </c>
      <c r="C8" s="15">
        <f t="shared" si="1"/>
        <v>0.7368421053</v>
      </c>
    </row>
    <row r="9">
      <c r="A9" s="4" t="s">
        <v>21</v>
      </c>
      <c r="B9" s="4">
        <v>15.0</v>
      </c>
      <c r="C9" s="15">
        <f t="shared" si="1"/>
        <v>0.8947368421</v>
      </c>
    </row>
    <row r="10">
      <c r="A10" s="4" t="s">
        <v>24</v>
      </c>
      <c r="B10" s="4">
        <v>10.0</v>
      </c>
      <c r="C10" s="15">
        <f t="shared" si="1"/>
        <v>1</v>
      </c>
    </row>
    <row r="13">
      <c r="A13" s="3" t="s">
        <v>55</v>
      </c>
    </row>
    <row r="14">
      <c r="A14" s="9" t="s">
        <v>52</v>
      </c>
      <c r="B14" s="9" t="s">
        <v>56</v>
      </c>
      <c r="C14" s="9" t="s">
        <v>53</v>
      </c>
    </row>
    <row r="15">
      <c r="A15" s="4" t="s">
        <v>21</v>
      </c>
      <c r="B15" s="4">
        <v>90.0</v>
      </c>
      <c r="C15" s="15">
        <f t="shared" ref="C15:C18" si="2">SUM($B$15:B15)/SUM($B$15:$B$18)</f>
        <v>0.6569343066</v>
      </c>
    </row>
    <row r="16">
      <c r="A16" s="4" t="s">
        <v>22</v>
      </c>
      <c r="B16" s="4">
        <v>24.0</v>
      </c>
      <c r="C16" s="15">
        <f t="shared" si="2"/>
        <v>0.8321167883</v>
      </c>
    </row>
    <row r="17">
      <c r="A17" s="4" t="s">
        <v>24</v>
      </c>
      <c r="B17" s="4">
        <v>15.0</v>
      </c>
      <c r="C17" s="15">
        <f t="shared" si="2"/>
        <v>0.9416058394</v>
      </c>
    </row>
    <row r="18">
      <c r="A18" s="4" t="s">
        <v>54</v>
      </c>
      <c r="B18" s="4">
        <v>8.0</v>
      </c>
      <c r="C18" s="15">
        <f t="shared" si="2"/>
        <v>1</v>
      </c>
    </row>
    <row r="21" ht="15.75" customHeight="1">
      <c r="A21" s="3" t="s">
        <v>57</v>
      </c>
    </row>
    <row r="22" ht="15.75" customHeight="1">
      <c r="A22" s="14" t="s">
        <v>58</v>
      </c>
    </row>
    <row r="23" ht="15.75" customHeight="1">
      <c r="A23" s="14" t="s">
        <v>59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