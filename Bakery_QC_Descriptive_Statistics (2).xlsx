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out" sheetId="1" r:id="rId5"/>
    <sheet state="visible" name="Data" sheetId="2" r:id="rId6"/>
    <sheet state="visible" name="Statistics" sheetId="3" r:id="rId7"/>
    <sheet state="visible" name="Histogram" sheetId="4" r:id="rId8"/>
  </sheets>
  <definedNames/>
  <calcPr/>
</workbook>
</file>

<file path=xl/sharedStrings.xml><?xml version="1.0" encoding="utf-8"?>
<sst xmlns="http://schemas.openxmlformats.org/spreadsheetml/2006/main" count="48" uniqueCount="47">
  <si>
    <t>Bakery Quality Control — Descriptive Statistics</t>
  </si>
  <si>
    <t>Scenario: you run a bakery and want CONSISTENT bread-loaf weight.</t>
  </si>
  <si>
    <t>You weigh 50 loaves today (grams) and summarize the data with descriptive statistics:</t>
  </si>
  <si>
    <t xml:space="preserve"> • Mean  — the typical (average) loaf weight.</t>
  </si>
  <si>
    <t xml:space="preserve"> • Median — the middle value; robust to outliers (very light/heavy loaves).</t>
  </si>
  <si>
    <t xml:space="preserve"> • Standard deviation — how much weights vary around the mean (consistency).</t>
  </si>
  <si>
    <t xml:space="preserve"> • Min / Max / Range — the spread of loaf weights.</t>
  </si>
  <si>
    <t xml:space="preserve"> • Quartiles &amp; IQR — the spread of the MIDDLE 50% of loaves (outlier-resistant).</t>
  </si>
  <si>
    <t>How to read it:</t>
  </si>
  <si>
    <t xml:space="preserve"> • A small standard deviation and a tight IQR = a stable, consistent process.</t>
  </si>
  <si>
    <t xml:space="preserve"> • A large spread, or a big gap between mean and median, hints at outliers or process drift.</t>
  </si>
  <si>
    <t>This file has: 'Data' (the 50 weights), 'Statistics' (all measures via live Excel formulas),</t>
  </si>
  <si>
    <t>and a histogram so you can see the distribution. Change any weight and the stats recalculate.</t>
  </si>
  <si>
    <t>Loaf #</t>
  </si>
  <si>
    <t>Weight (g)</t>
  </si>
  <si>
    <t>Descriptive Statistics — Loaf Weight (g)</t>
  </si>
  <si>
    <t>Statistic</t>
  </si>
  <si>
    <t>Value</t>
  </si>
  <si>
    <t>What it tells you</t>
  </si>
  <si>
    <t>Count</t>
  </si>
  <si>
    <t>Number of loaves measured</t>
  </si>
  <si>
    <t>Mean (average)</t>
  </si>
  <si>
    <t>Typical loaf weight</t>
  </si>
  <si>
    <t>Median</t>
  </si>
  <si>
    <t>Middle value; robust to outliers</t>
  </si>
  <si>
    <t>Std deviation (sample)</t>
  </si>
  <si>
    <t>Consistency — smaller = more consistent</t>
  </si>
  <si>
    <t>Minimum</t>
  </si>
  <si>
    <t>Lightest loaf</t>
  </si>
  <si>
    <t>Maximum</t>
  </si>
  <si>
    <t>Heaviest loaf</t>
  </si>
  <si>
    <t>Range</t>
  </si>
  <si>
    <t>Max minus min — total spread</t>
  </si>
  <si>
    <t>Q1 (25th pct)</t>
  </si>
  <si>
    <t>Bottom quarter boundary</t>
  </si>
  <si>
    <t>Q3 (75th pct)</t>
  </si>
  <si>
    <t>Top quarter boundary</t>
  </si>
  <si>
    <t>IQR (Q3-Q1)</t>
  </si>
  <si>
    <t>Spread of middle 50% (outlier-resistant)</t>
  </si>
  <si>
    <t>Coeff. of variation</t>
  </si>
  <si>
    <t>Relative variability (%); lower = more consistent</t>
  </si>
  <si>
    <t>Outlier check (1.5 x IQR rule):</t>
  </si>
  <si>
    <t>Lower fence = Q1 - 1.5*IQR</t>
  </si>
  <si>
    <t>Upper fence = Q3 + 1.5*IQR</t>
  </si>
  <si>
    <t>Loaves below/above these fences are potential outliers.</t>
  </si>
  <si>
    <t>Weight Distribution (histogram)</t>
  </si>
  <si>
    <t>Bin (upper 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</si>
</sst>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%"/>
  </numFmts>
  <fonts count="8">
    <font>
      <sz val="11.0"/>
      <color theme="1"/>
      <name val="Calibri"/>
      <scheme val="minor"/>
    </font>
    <font>
      <b/>
      <sz val="14.0"/>
      <color rgb="FF7A4B2B"/>
      <name val="Calibri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i/>
      <sz val="10.0"/>
      <color rgb="FF666666"/>
      <name val="Calibri"/>
    </font>
    <font>
      <i/>
      <sz val="10.0"/>
      <color rgb="FF666666"/>
      <name val="Cambria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7A4B2B"/>
        <bgColor rgb="FF7A4B2B"/>
      </patternFill>
    </fill>
  </fills>
  <borders count="3">
    <border/>
    <border>
      <left style="thin">
        <color rgb="FFD9C3AE"/>
      </left>
      <right style="thin">
        <color rgb="FFD9C3AE"/>
      </right>
      <top style="thin">
        <color rgb="FFD9C3AE"/>
      </top>
      <bottom style="thin">
        <color rgb="FFD9C3AE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2" numFmtId="164" xfId="0" applyAlignment="1" applyBorder="1" applyFont="1" applyNumberFormat="1">
      <alignment horizontal="center" shrinkToFit="0" vertical="bottom" wrapText="0"/>
    </xf>
    <xf borderId="2" fillId="2" fontId="3" numFmtId="0" xfId="0" applyAlignment="1" applyBorder="1" applyFont="1">
      <alignment horizontal="left" shrinkToFit="0" vertical="bottom" wrapText="0"/>
    </xf>
    <xf borderId="0" fillId="0" fontId="4" numFmtId="0" xfId="0" applyAlignment="1" applyFont="1">
      <alignment shrinkToFit="0" vertical="bottom" wrapText="0"/>
    </xf>
    <xf borderId="0" fillId="0" fontId="2" numFmtId="2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2" numFmtId="165" xfId="0" applyAlignment="1" applyFont="1" applyNumberForma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2" fillId="2" fontId="3" numFmtId="0" xfId="0" applyAlignment="1" applyBorder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Loaf Weight Distribution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Count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Histogram!$A$4:$A$13</c:f>
            </c:strRef>
          </c:cat>
          <c:val>
            <c:numRef>
              <c:f>Histogram!$B$4:$B$13</c:f>
              <c:numCache/>
            </c:numRef>
          </c:val>
        </c:ser>
        <c:axId val="435791651"/>
        <c:axId val="1222313652"/>
      </c:barChart>
      <c:catAx>
        <c:axId val="4357916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Weight bin (g, upper bound)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22313652"/>
      </c:catAx>
      <c:valAx>
        <c:axId val="12223136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Number of loaves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35791651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0</xdr:rowOff>
    </xdr:from>
    <xdr:ext cx="5810250" cy="34004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>
      <c r="A1" s="1" t="s">
        <v>0</v>
      </c>
    </row>
    <row r="2">
      <c r="A2" s="2"/>
    </row>
    <row r="3">
      <c r="A3" s="2" t="s">
        <v>1</v>
      </c>
    </row>
    <row r="4">
      <c r="A4" s="2" t="s">
        <v>2</v>
      </c>
    </row>
    <row r="5">
      <c r="A5" s="2"/>
    </row>
    <row r="6">
      <c r="A6" s="2" t="s">
        <v>3</v>
      </c>
    </row>
    <row r="7">
      <c r="A7" s="2" t="s">
        <v>4</v>
      </c>
    </row>
    <row r="8">
      <c r="A8" s="2" t="s">
        <v>5</v>
      </c>
    </row>
    <row r="9">
      <c r="A9" s="2" t="s">
        <v>6</v>
      </c>
    </row>
    <row r="10">
      <c r="A10" s="2" t="s">
        <v>7</v>
      </c>
    </row>
    <row r="11">
      <c r="A11" s="2"/>
    </row>
    <row r="12">
      <c r="A12" s="2" t="s">
        <v>8</v>
      </c>
    </row>
    <row r="13">
      <c r="A13" s="2" t="s">
        <v>9</v>
      </c>
    </row>
    <row r="14">
      <c r="A14" s="2" t="s">
        <v>10</v>
      </c>
    </row>
    <row r="15">
      <c r="A15" s="2"/>
    </row>
    <row r="16">
      <c r="A16" s="2" t="s">
        <v>11</v>
      </c>
    </row>
    <row r="17">
      <c r="A17" s="2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12.0"/>
    <col customWidth="1" min="3" max="26" width="8.71"/>
  </cols>
  <sheetData>
    <row r="1">
      <c r="A1" s="3" t="s">
        <v>13</v>
      </c>
      <c r="B1" s="3" t="s">
        <v>14</v>
      </c>
    </row>
    <row r="2">
      <c r="A2" s="4">
        <v>1.0</v>
      </c>
      <c r="B2" s="5">
        <v>503.0</v>
      </c>
    </row>
    <row r="3">
      <c r="A3" s="4">
        <v>2.0</v>
      </c>
      <c r="B3" s="5">
        <v>513.3</v>
      </c>
    </row>
    <row r="4">
      <c r="A4" s="4">
        <v>3.0</v>
      </c>
      <c r="B4" s="5">
        <v>479.7</v>
      </c>
    </row>
    <row r="5">
      <c r="A5" s="4">
        <v>4.0</v>
      </c>
      <c r="B5" s="5">
        <v>503.7</v>
      </c>
    </row>
    <row r="6">
      <c r="A6" s="4">
        <v>5.0</v>
      </c>
      <c r="B6" s="5">
        <v>510.3</v>
      </c>
    </row>
    <row r="7">
      <c r="A7" s="4">
        <v>6.0</v>
      </c>
      <c r="B7" s="5">
        <v>502.2</v>
      </c>
    </row>
    <row r="8">
      <c r="A8" s="4">
        <v>7.0</v>
      </c>
      <c r="B8" s="5">
        <v>496.2</v>
      </c>
    </row>
    <row r="9">
      <c r="A9" s="4">
        <v>8.0</v>
      </c>
      <c r="B9" s="5">
        <v>494.4</v>
      </c>
    </row>
    <row r="10">
      <c r="A10" s="4">
        <v>9.0</v>
      </c>
      <c r="B10" s="5">
        <v>507.6</v>
      </c>
    </row>
    <row r="11">
      <c r="A11" s="4">
        <v>10.0</v>
      </c>
      <c r="B11" s="5">
        <v>492.3</v>
      </c>
    </row>
    <row r="12">
      <c r="A12" s="4">
        <v>11.0</v>
      </c>
      <c r="B12" s="5">
        <v>500.6</v>
      </c>
    </row>
    <row r="13">
      <c r="A13" s="4">
        <v>12.0</v>
      </c>
      <c r="B13" s="5">
        <v>496.9</v>
      </c>
    </row>
    <row r="14">
      <c r="A14" s="4">
        <v>13.0</v>
      </c>
      <c r="B14" s="5">
        <v>497.4</v>
      </c>
    </row>
    <row r="15">
      <c r="A15" s="4">
        <v>14.0</v>
      </c>
      <c r="B15" s="5">
        <v>502.9</v>
      </c>
    </row>
    <row r="16">
      <c r="A16" s="4">
        <v>15.0</v>
      </c>
      <c r="B16" s="5">
        <v>479.1</v>
      </c>
    </row>
    <row r="17">
      <c r="A17" s="4">
        <v>16.0</v>
      </c>
      <c r="B17" s="5">
        <v>480.0</v>
      </c>
    </row>
    <row r="18">
      <c r="A18" s="4">
        <v>17.0</v>
      </c>
      <c r="B18" s="5">
        <v>492.6</v>
      </c>
    </row>
    <row r="19">
      <c r="A19" s="4">
        <v>18.0</v>
      </c>
      <c r="B19" s="5">
        <v>455.0</v>
      </c>
    </row>
    <row r="20">
      <c r="A20" s="4">
        <v>19.0</v>
      </c>
      <c r="B20" s="5">
        <v>514.7</v>
      </c>
    </row>
    <row r="21" ht="15.75" customHeight="1">
      <c r="A21" s="4">
        <v>20.0</v>
      </c>
      <c r="B21" s="5">
        <v>506.1</v>
      </c>
    </row>
    <row r="22" ht="15.75" customHeight="1">
      <c r="A22" s="4">
        <v>21.0</v>
      </c>
      <c r="B22" s="5">
        <v>514.4</v>
      </c>
    </row>
    <row r="23" ht="15.75" customHeight="1">
      <c r="A23" s="4">
        <v>22.0</v>
      </c>
      <c r="B23" s="5">
        <v>498.7</v>
      </c>
    </row>
    <row r="24" ht="15.75" customHeight="1">
      <c r="A24" s="4">
        <v>23.0</v>
      </c>
      <c r="B24" s="5">
        <v>482.1</v>
      </c>
    </row>
    <row r="25" ht="15.75" customHeight="1">
      <c r="A25" s="4">
        <v>24.0</v>
      </c>
      <c r="B25" s="5">
        <v>506.0</v>
      </c>
    </row>
    <row r="26" ht="15.75" customHeight="1">
      <c r="A26" s="4">
        <v>25.0</v>
      </c>
      <c r="B26" s="5">
        <v>512.4</v>
      </c>
    </row>
    <row r="27" ht="15.75" customHeight="1">
      <c r="A27" s="4">
        <v>26.0</v>
      </c>
      <c r="B27" s="5">
        <v>520.6</v>
      </c>
    </row>
    <row r="28" ht="15.75" customHeight="1">
      <c r="A28" s="4">
        <v>27.0</v>
      </c>
      <c r="B28" s="5">
        <v>488.5</v>
      </c>
    </row>
    <row r="29" ht="15.75" customHeight="1">
      <c r="A29" s="4">
        <v>28.0</v>
      </c>
      <c r="B29" s="5">
        <v>494.6</v>
      </c>
    </row>
    <row r="30" ht="15.75" customHeight="1">
      <c r="A30" s="4">
        <v>29.0</v>
      </c>
      <c r="B30" s="5">
        <v>506.1</v>
      </c>
    </row>
    <row r="31" ht="15.75" customHeight="1">
      <c r="A31" s="4">
        <v>30.0</v>
      </c>
      <c r="B31" s="5">
        <v>504.7</v>
      </c>
    </row>
    <row r="32" ht="15.75" customHeight="1">
      <c r="A32" s="4">
        <v>31.0</v>
      </c>
      <c r="B32" s="5">
        <v>496.1</v>
      </c>
    </row>
    <row r="33" ht="15.75" customHeight="1">
      <c r="A33" s="4">
        <v>32.0</v>
      </c>
      <c r="B33" s="5">
        <v>548.0</v>
      </c>
    </row>
    <row r="34" ht="15.75" customHeight="1">
      <c r="A34" s="4">
        <v>33.0</v>
      </c>
      <c r="B34" s="5">
        <v>506.3</v>
      </c>
    </row>
    <row r="35" ht="15.75" customHeight="1">
      <c r="A35" s="4">
        <v>34.0</v>
      </c>
      <c r="B35" s="5">
        <v>490.3</v>
      </c>
    </row>
    <row r="36" ht="15.75" customHeight="1">
      <c r="A36" s="4">
        <v>35.0</v>
      </c>
      <c r="B36" s="5">
        <v>503.7</v>
      </c>
    </row>
    <row r="37" ht="15.75" customHeight="1">
      <c r="A37" s="4">
        <v>36.0</v>
      </c>
      <c r="B37" s="5">
        <v>515.7</v>
      </c>
    </row>
    <row r="38" ht="15.75" customHeight="1">
      <c r="A38" s="4">
        <v>37.0</v>
      </c>
      <c r="B38" s="5">
        <v>497.3</v>
      </c>
    </row>
    <row r="39" ht="15.75" customHeight="1">
      <c r="A39" s="4">
        <v>38.0</v>
      </c>
      <c r="B39" s="5">
        <v>505.1</v>
      </c>
    </row>
    <row r="40" ht="15.75" customHeight="1">
      <c r="A40" s="4">
        <v>39.0</v>
      </c>
      <c r="B40" s="5">
        <v>491.1</v>
      </c>
    </row>
    <row r="41" ht="15.75" customHeight="1">
      <c r="A41" s="4">
        <v>40.0</v>
      </c>
      <c r="B41" s="5">
        <v>503.0</v>
      </c>
    </row>
    <row r="42" ht="15.75" customHeight="1">
      <c r="A42" s="4">
        <v>41.0</v>
      </c>
      <c r="B42" s="5">
        <v>499.4</v>
      </c>
    </row>
    <row r="43" ht="15.75" customHeight="1">
      <c r="A43" s="4">
        <v>42.0</v>
      </c>
      <c r="B43" s="5">
        <v>504.7</v>
      </c>
    </row>
    <row r="44" ht="15.75" customHeight="1">
      <c r="A44" s="4">
        <v>43.0</v>
      </c>
      <c r="B44" s="5">
        <v>492.1</v>
      </c>
    </row>
    <row r="45" ht="15.75" customHeight="1">
      <c r="A45" s="4">
        <v>44.0</v>
      </c>
      <c r="B45" s="5">
        <v>495.9</v>
      </c>
    </row>
    <row r="46" ht="15.75" customHeight="1">
      <c r="A46" s="4">
        <v>45.0</v>
      </c>
      <c r="B46" s="5">
        <v>505.1</v>
      </c>
    </row>
    <row r="47" ht="15.75" customHeight="1">
      <c r="A47" s="4">
        <v>46.0</v>
      </c>
      <c r="B47" s="5">
        <v>488.8</v>
      </c>
    </row>
    <row r="48" ht="15.75" customHeight="1">
      <c r="A48" s="4">
        <v>47.0</v>
      </c>
      <c r="B48" s="5">
        <v>493.8</v>
      </c>
    </row>
    <row r="49" ht="15.75" customHeight="1">
      <c r="A49" s="4">
        <v>48.0</v>
      </c>
      <c r="B49" s="5">
        <v>489.3</v>
      </c>
    </row>
    <row r="50" ht="15.75" customHeight="1">
      <c r="A50" s="4">
        <v>49.0</v>
      </c>
      <c r="B50" s="5">
        <v>506.7</v>
      </c>
    </row>
    <row r="51" ht="15.75" customHeight="1">
      <c r="A51" s="4">
        <v>50.0</v>
      </c>
      <c r="B51" s="5">
        <v>475.8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2.0"/>
    <col customWidth="1" min="3" max="3" width="46.0"/>
    <col customWidth="1" min="4" max="26" width="8.71"/>
  </cols>
  <sheetData>
    <row r="1">
      <c r="A1" s="1" t="s">
        <v>15</v>
      </c>
    </row>
    <row r="3">
      <c r="A3" s="6" t="s">
        <v>16</v>
      </c>
      <c r="B3" s="6" t="s">
        <v>17</v>
      </c>
      <c r="C3" s="6" t="s">
        <v>18</v>
      </c>
    </row>
    <row r="4">
      <c r="A4" s="7" t="s">
        <v>19</v>
      </c>
      <c r="B4" s="8">
        <f>COUNT(Data!B2:B51)</f>
        <v>50</v>
      </c>
      <c r="C4" s="9" t="s">
        <v>20</v>
      </c>
    </row>
    <row r="5">
      <c r="A5" s="7" t="s">
        <v>21</v>
      </c>
      <c r="B5" s="8">
        <f>AVERAGE(Data!B2:B51)</f>
        <v>499.286</v>
      </c>
      <c r="C5" s="9" t="s">
        <v>22</v>
      </c>
    </row>
    <row r="6">
      <c r="A6" s="7" t="s">
        <v>23</v>
      </c>
      <c r="B6" s="8">
        <f>MEDIAN(Data!B2:B51)</f>
        <v>500</v>
      </c>
      <c r="C6" s="9" t="s">
        <v>24</v>
      </c>
    </row>
    <row r="7">
      <c r="A7" s="7" t="s">
        <v>25</v>
      </c>
      <c r="B7" s="8">
        <f>STDEV(Data!B2:B51)</f>
        <v>13.76962066</v>
      </c>
      <c r="C7" s="9" t="s">
        <v>26</v>
      </c>
    </row>
    <row r="8">
      <c r="A8" s="7" t="s">
        <v>27</v>
      </c>
      <c r="B8" s="8">
        <f>MIN(Data!B2:B51)</f>
        <v>455</v>
      </c>
      <c r="C8" s="9" t="s">
        <v>28</v>
      </c>
    </row>
    <row r="9">
      <c r="A9" s="7" t="s">
        <v>29</v>
      </c>
      <c r="B9" s="8">
        <f>MAX(Data!B2:B51)</f>
        <v>548</v>
      </c>
      <c r="C9" s="9" t="s">
        <v>30</v>
      </c>
    </row>
    <row r="10">
      <c r="A10" s="7" t="s">
        <v>31</v>
      </c>
      <c r="B10" s="8">
        <f>MAX(Data!B2:B51)-MIN(Data!B2:B51)</f>
        <v>93</v>
      </c>
      <c r="C10" s="9" t="s">
        <v>32</v>
      </c>
    </row>
    <row r="11">
      <c r="A11" s="7" t="s">
        <v>33</v>
      </c>
      <c r="B11" s="8">
        <f>QUARTILE(Data!B2:B51,1)</f>
        <v>492.375</v>
      </c>
      <c r="C11" s="9" t="s">
        <v>34</v>
      </c>
    </row>
    <row r="12">
      <c r="A12" s="7" t="s">
        <v>35</v>
      </c>
      <c r="B12" s="8">
        <f>QUARTILE(Data!B2:B51,3)</f>
        <v>506.075</v>
      </c>
      <c r="C12" s="9" t="s">
        <v>36</v>
      </c>
    </row>
    <row r="13">
      <c r="A13" s="7" t="s">
        <v>37</v>
      </c>
      <c r="B13" s="8">
        <f>QUARTILE(Data!B2:B51,3)-QUARTILE(Data!B2:B51,1)</f>
        <v>13.7</v>
      </c>
      <c r="C13" s="9" t="s">
        <v>38</v>
      </c>
    </row>
    <row r="14">
      <c r="A14" s="7" t="s">
        <v>39</v>
      </c>
      <c r="B14" s="8">
        <f>STDEV(Data!B2:B51)/AVERAGE(Data!B2:B51)</f>
        <v>0.02757862359</v>
      </c>
      <c r="C14" s="9" t="s">
        <v>40</v>
      </c>
    </row>
    <row r="15">
      <c r="B15" s="10"/>
    </row>
    <row r="17">
      <c r="A17" s="7" t="s">
        <v>41</v>
      </c>
    </row>
    <row r="18">
      <c r="A18" s="2" t="s">
        <v>42</v>
      </c>
      <c r="B18" s="11">
        <f>B11-1.5*B13</f>
        <v>471.825</v>
      </c>
    </row>
    <row r="19">
      <c r="A19" s="2" t="s">
        <v>43</v>
      </c>
      <c r="B19" s="11">
        <f>B12+1.5*B13</f>
        <v>526.625</v>
      </c>
    </row>
    <row r="20">
      <c r="A20" s="12" t="s">
        <v>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0.0"/>
    <col customWidth="1" min="3" max="26" width="8.71"/>
  </cols>
  <sheetData>
    <row r="1">
      <c r="A1" s="1" t="s">
        <v>45</v>
      </c>
    </row>
    <row r="3">
      <c r="A3" s="13" t="s">
        <v>46</v>
      </c>
      <c r="B3" s="13" t="s">
        <v>19</v>
      </c>
    </row>
    <row r="4">
      <c r="A4" s="14">
        <v>460.0</v>
      </c>
      <c r="B4" s="15">
        <f>COUNTIFS(Data!B2:B51,"&gt;"&amp;-1000000000,Data!B2:B51,"&lt;="&amp;460)</f>
        <v>1</v>
      </c>
    </row>
    <row r="5">
      <c r="A5" s="14">
        <v>470.0</v>
      </c>
      <c r="B5" s="15">
        <f>COUNTIFS(Data!B2:B51,"&gt;"&amp;460,Data!B2:B51,"&lt;="&amp;470)</f>
        <v>0</v>
      </c>
    </row>
    <row r="6">
      <c r="A6" s="14">
        <v>480.0</v>
      </c>
      <c r="B6" s="15">
        <f>COUNTIFS(Data!B2:B51,"&gt;"&amp;470,Data!B2:B51,"&lt;="&amp;480)</f>
        <v>4</v>
      </c>
    </row>
    <row r="7">
      <c r="A7" s="14">
        <v>490.0</v>
      </c>
      <c r="B7" s="15">
        <f>COUNTIFS(Data!B2:B51,"&gt;"&amp;480,Data!B2:B51,"&lt;="&amp;490)</f>
        <v>4</v>
      </c>
    </row>
    <row r="8">
      <c r="A8" s="14">
        <v>500.0</v>
      </c>
      <c r="B8" s="15">
        <f>COUNTIFS(Data!B2:B51,"&gt;"&amp;490,Data!B2:B51,"&lt;="&amp;500)</f>
        <v>16</v>
      </c>
    </row>
    <row r="9">
      <c r="A9" s="14">
        <v>510.0</v>
      </c>
      <c r="B9" s="15">
        <f>COUNTIFS(Data!B2:B51,"&gt;"&amp;500,Data!B2:B51,"&lt;="&amp;510)</f>
        <v>17</v>
      </c>
    </row>
    <row r="10">
      <c r="A10" s="14">
        <v>520.0</v>
      </c>
      <c r="B10" s="15">
        <f>COUNTIFS(Data!B2:B51,"&gt;"&amp;510,Data!B2:B51,"&lt;="&amp;520)</f>
        <v>6</v>
      </c>
    </row>
    <row r="11">
      <c r="A11" s="14">
        <v>530.0</v>
      </c>
      <c r="B11" s="15">
        <f>COUNTIFS(Data!B2:B51,"&gt;"&amp;520,Data!B2:B51,"&lt;="&amp;530)</f>
        <v>1</v>
      </c>
    </row>
    <row r="12">
      <c r="A12" s="14">
        <v>540.0</v>
      </c>
      <c r="B12" s="15">
        <f>COUNTIFS(Data!B2:B51,"&gt;"&amp;530,Data!B2:B51,"&lt;="&amp;540)</f>
        <v>0</v>
      </c>
    </row>
    <row r="13">
      <c r="A13" s="14">
        <v>550.0</v>
      </c>
      <c r="B13" s="15">
        <f>COUNTIFS(Data!B2:B51,"&gt;"&amp;540,Data!B2:B51,"&lt;="&amp;550)</f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