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5"/>
    <sheet state="visible" name="Data (long)" sheetId="2" r:id="rId6"/>
    <sheet state="visible" name="By Line (stats)" sheetId="3" r:id="rId7"/>
  </sheets>
  <definedNames/>
  <calcPr/>
</workbook>
</file>

<file path=xl/sharedStrings.xml><?xml version="1.0" encoding="utf-8"?>
<sst xmlns="http://schemas.openxmlformats.org/spreadsheetml/2006/main" count="93" uniqueCount="33">
  <si>
    <t>Beverage QC - Does Production Line Affect Sugar Content?</t>
  </si>
  <si>
    <t>Scenario: a juice plant runs 4 production lines. QC wants to know whether the PRODUCTION LINE</t>
  </si>
  <si>
    <t>(a categorical variable) affects the SUGAR CONTENT % (a numerical variable).</t>
  </si>
  <si>
    <t>Method: collect sugar readings from bottles on each line, then draw GROUPED BOXPLOTS - one box</t>
  </si>
  <si>
    <t>per line - and compare their medians and spread.</t>
  </si>
  <si>
    <t>How to read it:</t>
  </si>
  <si>
    <t xml:space="preserve">  - If the boxes line up (similar medians &amp; spread), the line does NOT affect sugar - process is consistent.</t>
  </si>
  <si>
    <t xml:space="preserve">  - If one box sits higher/lower, that line runs off-target and may need adjustment or maintenance.</t>
  </si>
  <si>
    <t>In this dataset, Line C runs noticeably higher - the boxplot and the stats table will both show it.</t>
  </si>
  <si>
    <t>Tabs:</t>
  </si>
  <si>
    <t xml:space="preserve">  - 'Data (long)': Line + Sugar in two columns -&gt; use this to make Excel's grouped box-and-whisker chart.</t>
  </si>
  <si>
    <t xml:space="preserve">  - 'By Line (stats)': each line's readings side by side, with median / quartiles / IQR per line.</t>
  </si>
  <si>
    <t>To draw grouped boxplots: select A3:B63, then Insert &gt; Chart &gt; Statistical &gt; Box and Whisker.</t>
  </si>
  <si>
    <t>Excel groups one box per Line automatically.</t>
  </si>
  <si>
    <t>Line</t>
  </si>
  <si>
    <t>Sugar (%)</t>
  </si>
  <si>
    <t>Line D</t>
  </si>
  <si>
    <t>Line A</t>
  </si>
  <si>
    <t>Line B</t>
  </si>
  <si>
    <t>Line C</t>
  </si>
  <si>
    <t>Sugar Content by Production Line</t>
  </si>
  <si>
    <t>Bottle</t>
  </si>
  <si>
    <t>Statistics by line</t>
  </si>
  <si>
    <t>Mean</t>
  </si>
  <si>
    <t>Median</t>
  </si>
  <si>
    <t>Std dev</t>
  </si>
  <si>
    <t>Min</t>
  </si>
  <si>
    <t>Max</t>
  </si>
  <si>
    <t>Q1</t>
  </si>
  <si>
    <t>Q3</t>
  </si>
  <si>
    <t>IQR</t>
  </si>
  <si>
    <t>Compare the medians across lines: if one column's median stands out (here, Line C),</t>
  </si>
  <si>
    <t>the production line IS influencing sugar content and that line needs attention.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</si>
</sst>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2E7D32"/>
      <name val="Calibri"/>
    </font>
    <font>
      <sz val="11.0"/>
      <color theme="1"/>
      <name val="Calibri"/>
    </font>
    <font>
      <b/>
      <sz val="11.0"/>
      <color theme="1"/>
      <name val="Calibri"/>
    </font>
    <font>
      <i/>
      <sz val="10.0"/>
      <color rgb="FF666666"/>
      <name val="Cambria"/>
    </font>
    <font>
      <b/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2" xfId="0" applyAlignment="1" applyFont="1" applyNumberFormat="1">
      <alignment horizontal="center" shrinkToFit="0" vertical="bottom" wrapText="0"/>
    </xf>
    <xf borderId="1" fillId="2" fontId="5" numFmtId="0" xfId="0" applyAlignment="1" applyBorder="1" applyFont="1">
      <alignment shrinkToFit="0" vertical="bottom" wrapText="0"/>
    </xf>
    <xf borderId="0" fillId="0" fontId="2" numFmtId="2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4.0"/>
    <col customWidth="1" min="2" max="26" width="8.71"/>
  </cols>
  <sheetData>
    <row r="1">
      <c r="A1" s="1" t="s">
        <v>0</v>
      </c>
    </row>
    <row r="2">
      <c r="A2" s="2"/>
    </row>
    <row r="3">
      <c r="A3" s="2" t="s">
        <v>1</v>
      </c>
    </row>
    <row r="4">
      <c r="A4" s="2" t="s">
        <v>2</v>
      </c>
    </row>
    <row r="5">
      <c r="A5" s="2"/>
    </row>
    <row r="6">
      <c r="A6" s="2" t="s">
        <v>3</v>
      </c>
    </row>
    <row r="7">
      <c r="A7" s="2" t="s">
        <v>4</v>
      </c>
    </row>
    <row r="8">
      <c r="A8" s="2"/>
    </row>
    <row r="9">
      <c r="A9" s="2" t="s">
        <v>5</v>
      </c>
    </row>
    <row r="10">
      <c r="A10" s="2" t="s">
        <v>6</v>
      </c>
    </row>
    <row r="11">
      <c r="A11" s="2" t="s">
        <v>7</v>
      </c>
    </row>
    <row r="12">
      <c r="A12" s="2"/>
    </row>
    <row r="13">
      <c r="A13" s="2" t="s">
        <v>8</v>
      </c>
    </row>
    <row r="14">
      <c r="A14" s="2"/>
    </row>
    <row r="15">
      <c r="A15" s="2" t="s">
        <v>9</v>
      </c>
    </row>
    <row r="16">
      <c r="A16" s="2" t="s">
        <v>10</v>
      </c>
    </row>
    <row r="17">
      <c r="A17" s="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26" width="8.71"/>
  </cols>
  <sheetData>
    <row r="1">
      <c r="A1" s="3" t="s">
        <v>12</v>
      </c>
    </row>
    <row r="2">
      <c r="A2" s="4" t="s">
        <v>13</v>
      </c>
    </row>
    <row r="3">
      <c r="A3" s="5" t="s">
        <v>14</v>
      </c>
      <c r="B3" s="5" t="s">
        <v>15</v>
      </c>
    </row>
    <row r="4">
      <c r="A4" s="6" t="s">
        <v>16</v>
      </c>
      <c r="B4" s="7">
        <v>10.42</v>
      </c>
    </row>
    <row r="5">
      <c r="A5" s="6" t="s">
        <v>16</v>
      </c>
      <c r="B5" s="7">
        <v>10.25</v>
      </c>
    </row>
    <row r="6">
      <c r="A6" s="6" t="s">
        <v>17</v>
      </c>
      <c r="B6" s="7">
        <v>9.98</v>
      </c>
    </row>
    <row r="7">
      <c r="A7" s="6" t="s">
        <v>16</v>
      </c>
      <c r="B7" s="7">
        <v>10.68</v>
      </c>
    </row>
    <row r="8">
      <c r="A8" s="6" t="s">
        <v>16</v>
      </c>
      <c r="B8" s="7">
        <v>10.42</v>
      </c>
    </row>
    <row r="9">
      <c r="A9" s="6" t="s">
        <v>18</v>
      </c>
      <c r="B9" s="7">
        <v>10.31</v>
      </c>
    </row>
    <row r="10">
      <c r="A10" s="6" t="s">
        <v>18</v>
      </c>
      <c r="B10" s="7">
        <v>10.61</v>
      </c>
    </row>
    <row r="11">
      <c r="A11" s="6" t="s">
        <v>18</v>
      </c>
      <c r="B11" s="7">
        <v>10.02</v>
      </c>
    </row>
    <row r="12">
      <c r="A12" s="6" t="s">
        <v>19</v>
      </c>
      <c r="B12" s="7">
        <v>12.6</v>
      </c>
    </row>
    <row r="13">
      <c r="A13" s="6" t="s">
        <v>16</v>
      </c>
      <c r="B13" s="7">
        <v>10.62</v>
      </c>
    </row>
    <row r="14">
      <c r="A14" s="6" t="s">
        <v>18</v>
      </c>
      <c r="B14" s="7">
        <v>10.23</v>
      </c>
    </row>
    <row r="15">
      <c r="A15" s="6" t="s">
        <v>19</v>
      </c>
      <c r="B15" s="7">
        <v>12.48</v>
      </c>
    </row>
    <row r="16">
      <c r="A16" s="6" t="s">
        <v>17</v>
      </c>
      <c r="B16" s="7">
        <v>10.59</v>
      </c>
    </row>
    <row r="17">
      <c r="A17" s="6" t="s">
        <v>19</v>
      </c>
      <c r="B17" s="7">
        <v>12.73</v>
      </c>
    </row>
    <row r="18">
      <c r="A18" s="6" t="s">
        <v>17</v>
      </c>
      <c r="B18" s="7">
        <v>10.97</v>
      </c>
    </row>
    <row r="19">
      <c r="A19" s="6" t="s">
        <v>19</v>
      </c>
      <c r="B19" s="7">
        <v>12.36</v>
      </c>
    </row>
    <row r="20">
      <c r="A20" s="6" t="s">
        <v>16</v>
      </c>
      <c r="B20" s="7">
        <v>10.46</v>
      </c>
    </row>
    <row r="21" ht="15.75" customHeight="1">
      <c r="A21" s="6" t="s">
        <v>18</v>
      </c>
      <c r="B21" s="7">
        <v>10.03</v>
      </c>
    </row>
    <row r="22" ht="15.75" customHeight="1">
      <c r="A22" s="6" t="s">
        <v>16</v>
      </c>
      <c r="B22" s="7">
        <v>10.42</v>
      </c>
    </row>
    <row r="23" ht="15.75" customHeight="1">
      <c r="A23" s="6" t="s">
        <v>17</v>
      </c>
      <c r="B23" s="7">
        <v>10.08</v>
      </c>
    </row>
    <row r="24" ht="15.75" customHeight="1">
      <c r="A24" s="6" t="s">
        <v>18</v>
      </c>
      <c r="B24" s="7">
        <v>10.87</v>
      </c>
    </row>
    <row r="25" ht="15.75" customHeight="1">
      <c r="A25" s="6" t="s">
        <v>19</v>
      </c>
      <c r="B25" s="7">
        <v>12.92</v>
      </c>
    </row>
    <row r="26" ht="15.75" customHeight="1">
      <c r="A26" s="6" t="s">
        <v>18</v>
      </c>
      <c r="B26" s="7">
        <v>10.56</v>
      </c>
    </row>
    <row r="27" ht="15.75" customHeight="1">
      <c r="A27" s="6" t="s">
        <v>18</v>
      </c>
      <c r="B27" s="7">
        <v>10.45</v>
      </c>
    </row>
    <row r="28" ht="15.75" customHeight="1">
      <c r="A28" s="6" t="s">
        <v>17</v>
      </c>
      <c r="B28" s="7">
        <v>10.12</v>
      </c>
    </row>
    <row r="29" ht="15.75" customHeight="1">
      <c r="A29" s="6" t="s">
        <v>19</v>
      </c>
      <c r="B29" s="7">
        <v>12.74</v>
      </c>
    </row>
    <row r="30" ht="15.75" customHeight="1">
      <c r="A30" s="6" t="s">
        <v>18</v>
      </c>
      <c r="B30" s="7">
        <v>9.69</v>
      </c>
    </row>
    <row r="31" ht="15.75" customHeight="1">
      <c r="A31" s="6" t="s">
        <v>18</v>
      </c>
      <c r="B31" s="7">
        <v>10.68</v>
      </c>
    </row>
    <row r="32" ht="15.75" customHeight="1">
      <c r="A32" s="6" t="s">
        <v>17</v>
      </c>
      <c r="B32" s="7">
        <v>10.37</v>
      </c>
    </row>
    <row r="33" ht="15.75" customHeight="1">
      <c r="A33" s="6" t="s">
        <v>17</v>
      </c>
      <c r="B33" s="7">
        <v>10.63</v>
      </c>
    </row>
    <row r="34" ht="15.75" customHeight="1">
      <c r="A34" s="6" t="s">
        <v>17</v>
      </c>
      <c r="B34" s="7">
        <v>10.46</v>
      </c>
    </row>
    <row r="35" ht="15.75" customHeight="1">
      <c r="A35" s="6" t="s">
        <v>16</v>
      </c>
      <c r="B35" s="7">
        <v>10.27</v>
      </c>
    </row>
    <row r="36" ht="15.75" customHeight="1">
      <c r="A36" s="6" t="s">
        <v>16</v>
      </c>
      <c r="B36" s="7">
        <v>10.89</v>
      </c>
    </row>
    <row r="37" ht="15.75" customHeight="1">
      <c r="A37" s="6" t="s">
        <v>18</v>
      </c>
      <c r="B37" s="7">
        <v>10.11</v>
      </c>
    </row>
    <row r="38" ht="15.75" customHeight="1">
      <c r="A38" s="6" t="s">
        <v>17</v>
      </c>
      <c r="B38" s="7">
        <v>10.52</v>
      </c>
    </row>
    <row r="39" ht="15.75" customHeight="1">
      <c r="A39" s="6" t="s">
        <v>19</v>
      </c>
      <c r="B39" s="7">
        <v>13.29</v>
      </c>
    </row>
    <row r="40" ht="15.75" customHeight="1">
      <c r="A40" s="6" t="s">
        <v>18</v>
      </c>
      <c r="B40" s="7">
        <v>11.04</v>
      </c>
    </row>
    <row r="41" ht="15.75" customHeight="1">
      <c r="A41" s="6" t="s">
        <v>19</v>
      </c>
      <c r="B41" s="7">
        <v>12.19</v>
      </c>
    </row>
    <row r="42" ht="15.75" customHeight="1">
      <c r="A42" s="6" t="s">
        <v>19</v>
      </c>
      <c r="B42" s="7">
        <v>12.22</v>
      </c>
    </row>
    <row r="43" ht="15.75" customHeight="1">
      <c r="A43" s="6" t="s">
        <v>19</v>
      </c>
      <c r="B43" s="7">
        <v>12.8</v>
      </c>
    </row>
    <row r="44" ht="15.75" customHeight="1">
      <c r="A44" s="6" t="s">
        <v>17</v>
      </c>
      <c r="B44" s="7">
        <v>10.88</v>
      </c>
    </row>
    <row r="45" ht="15.75" customHeight="1">
      <c r="A45" s="6" t="s">
        <v>18</v>
      </c>
      <c r="B45" s="7">
        <v>10.37</v>
      </c>
    </row>
    <row r="46" ht="15.75" customHeight="1">
      <c r="A46" s="6" t="s">
        <v>18</v>
      </c>
      <c r="B46" s="7">
        <v>10.8</v>
      </c>
    </row>
    <row r="47" ht="15.75" customHeight="1">
      <c r="A47" s="6" t="s">
        <v>17</v>
      </c>
      <c r="B47" s="7">
        <v>10.4</v>
      </c>
    </row>
    <row r="48" ht="15.75" customHeight="1">
      <c r="A48" s="6" t="s">
        <v>16</v>
      </c>
      <c r="B48" s="7">
        <v>9.39</v>
      </c>
    </row>
    <row r="49" ht="15.75" customHeight="1">
      <c r="A49" s="6" t="s">
        <v>19</v>
      </c>
      <c r="B49" s="7">
        <v>12.52</v>
      </c>
    </row>
    <row r="50" ht="15.75" customHeight="1">
      <c r="A50" s="6" t="s">
        <v>16</v>
      </c>
      <c r="B50" s="7">
        <v>10.59</v>
      </c>
    </row>
    <row r="51" ht="15.75" customHeight="1">
      <c r="A51" s="6" t="s">
        <v>16</v>
      </c>
      <c r="B51" s="7">
        <v>9.95</v>
      </c>
    </row>
    <row r="52" ht="15.75" customHeight="1">
      <c r="A52" s="6" t="s">
        <v>16</v>
      </c>
      <c r="B52" s="7">
        <v>10.27</v>
      </c>
    </row>
    <row r="53" ht="15.75" customHeight="1">
      <c r="A53" s="6" t="s">
        <v>16</v>
      </c>
      <c r="B53" s="7">
        <v>10.0</v>
      </c>
    </row>
    <row r="54" ht="15.75" customHeight="1">
      <c r="A54" s="6" t="s">
        <v>19</v>
      </c>
      <c r="B54" s="7">
        <v>12.26</v>
      </c>
    </row>
    <row r="55" ht="15.75" customHeight="1">
      <c r="A55" s="6" t="s">
        <v>19</v>
      </c>
      <c r="B55" s="7">
        <v>13.39</v>
      </c>
    </row>
    <row r="56" ht="15.75" customHeight="1">
      <c r="A56" s="6" t="s">
        <v>18</v>
      </c>
      <c r="B56" s="7">
        <v>10.79</v>
      </c>
    </row>
    <row r="57" ht="15.75" customHeight="1">
      <c r="A57" s="6" t="s">
        <v>17</v>
      </c>
      <c r="B57" s="7">
        <v>11.11</v>
      </c>
    </row>
    <row r="58" ht="15.75" customHeight="1">
      <c r="A58" s="6" t="s">
        <v>17</v>
      </c>
      <c r="B58" s="7">
        <v>11.02</v>
      </c>
    </row>
    <row r="59" ht="15.75" customHeight="1">
      <c r="A59" s="6" t="s">
        <v>16</v>
      </c>
      <c r="B59" s="7">
        <v>9.56</v>
      </c>
    </row>
    <row r="60" ht="15.75" customHeight="1">
      <c r="A60" s="6" t="s">
        <v>19</v>
      </c>
      <c r="B60" s="7">
        <v>11.98</v>
      </c>
    </row>
    <row r="61" ht="15.75" customHeight="1">
      <c r="A61" s="6" t="s">
        <v>17</v>
      </c>
      <c r="B61" s="7">
        <v>10.6</v>
      </c>
    </row>
    <row r="62" ht="15.75" customHeight="1">
      <c r="A62" s="6" t="s">
        <v>17</v>
      </c>
      <c r="B62" s="7">
        <v>10.31</v>
      </c>
    </row>
    <row r="63" ht="15.75" customHeight="1">
      <c r="A63" s="6" t="s">
        <v>19</v>
      </c>
      <c r="B63" s="7">
        <v>12.28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5" width="11.0"/>
    <col customWidth="1" min="6" max="26" width="8.71"/>
  </cols>
  <sheetData>
    <row r="1">
      <c r="A1" s="1" t="s">
        <v>20</v>
      </c>
    </row>
    <row r="3">
      <c r="A3" s="8" t="s">
        <v>21</v>
      </c>
      <c r="B3" s="5" t="s">
        <v>17</v>
      </c>
      <c r="C3" s="5" t="s">
        <v>18</v>
      </c>
      <c r="D3" s="5" t="s">
        <v>19</v>
      </c>
      <c r="E3" s="5" t="s">
        <v>16</v>
      </c>
    </row>
    <row r="4">
      <c r="A4" s="6">
        <v>1.0</v>
      </c>
      <c r="B4" s="7">
        <v>10.12</v>
      </c>
      <c r="C4" s="7">
        <v>10.37</v>
      </c>
      <c r="D4" s="7">
        <v>12.36</v>
      </c>
      <c r="E4" s="7">
        <v>10.27</v>
      </c>
    </row>
    <row r="5">
      <c r="A5" s="6">
        <v>2.0</v>
      </c>
      <c r="B5" s="7">
        <v>10.59</v>
      </c>
      <c r="C5" s="7">
        <v>10.61</v>
      </c>
      <c r="D5" s="7">
        <v>12.74</v>
      </c>
      <c r="E5" s="7">
        <v>9.56</v>
      </c>
    </row>
    <row r="6">
      <c r="A6" s="6">
        <v>3.0</v>
      </c>
      <c r="B6" s="7">
        <v>11.02</v>
      </c>
      <c r="C6" s="7">
        <v>10.79</v>
      </c>
      <c r="D6" s="7">
        <v>12.22</v>
      </c>
      <c r="E6" s="7">
        <v>9.95</v>
      </c>
    </row>
    <row r="7">
      <c r="A7" s="6">
        <v>4.0</v>
      </c>
      <c r="B7" s="7">
        <v>11.11</v>
      </c>
      <c r="C7" s="7">
        <v>9.69</v>
      </c>
      <c r="D7" s="7">
        <v>13.29</v>
      </c>
      <c r="E7" s="7">
        <v>10.42</v>
      </c>
    </row>
    <row r="8">
      <c r="A8" s="6">
        <v>5.0</v>
      </c>
      <c r="B8" s="7">
        <v>10.97</v>
      </c>
      <c r="C8" s="7">
        <v>10.56</v>
      </c>
      <c r="D8" s="7">
        <v>12.73</v>
      </c>
      <c r="E8" s="7">
        <v>10.46</v>
      </c>
    </row>
    <row r="9">
      <c r="A9" s="6">
        <v>6.0</v>
      </c>
      <c r="B9" s="7">
        <v>10.52</v>
      </c>
      <c r="C9" s="7">
        <v>10.02</v>
      </c>
      <c r="D9" s="7">
        <v>13.39</v>
      </c>
      <c r="E9" s="7">
        <v>10.89</v>
      </c>
    </row>
    <row r="10">
      <c r="A10" s="6">
        <v>7.0</v>
      </c>
      <c r="B10" s="7">
        <v>10.63</v>
      </c>
      <c r="C10" s="7">
        <v>10.23</v>
      </c>
      <c r="D10" s="7">
        <v>12.52</v>
      </c>
      <c r="E10" s="7">
        <v>10.68</v>
      </c>
    </row>
    <row r="11">
      <c r="A11" s="6">
        <v>8.0</v>
      </c>
      <c r="B11" s="7">
        <v>10.4</v>
      </c>
      <c r="C11" s="7">
        <v>10.11</v>
      </c>
      <c r="D11" s="7">
        <v>12.28</v>
      </c>
      <c r="E11" s="7">
        <v>10.59</v>
      </c>
    </row>
    <row r="12">
      <c r="A12" s="6">
        <v>9.0</v>
      </c>
      <c r="B12" s="7">
        <v>9.98</v>
      </c>
      <c r="C12" s="7">
        <v>11.04</v>
      </c>
      <c r="D12" s="7">
        <v>11.98</v>
      </c>
      <c r="E12" s="7">
        <v>10.42</v>
      </c>
    </row>
    <row r="13">
      <c r="A13" s="6">
        <v>10.0</v>
      </c>
      <c r="B13" s="7">
        <v>10.31</v>
      </c>
      <c r="C13" s="7">
        <v>10.87</v>
      </c>
      <c r="D13" s="7">
        <v>12.8</v>
      </c>
      <c r="E13" s="7">
        <v>9.39</v>
      </c>
    </row>
    <row r="14">
      <c r="A14" s="6">
        <v>11.0</v>
      </c>
      <c r="B14" s="7">
        <v>10.88</v>
      </c>
      <c r="C14" s="7">
        <v>10.8</v>
      </c>
      <c r="D14" s="7">
        <v>12.92</v>
      </c>
      <c r="E14" s="7">
        <v>10.42</v>
      </c>
    </row>
    <row r="15">
      <c r="A15" s="6">
        <v>12.0</v>
      </c>
      <c r="B15" s="7">
        <v>10.6</v>
      </c>
      <c r="C15" s="7">
        <v>10.31</v>
      </c>
      <c r="D15" s="7">
        <v>12.48</v>
      </c>
      <c r="E15" s="7">
        <v>10.0</v>
      </c>
    </row>
    <row r="16">
      <c r="A16" s="6">
        <v>13.0</v>
      </c>
      <c r="B16" s="7">
        <v>10.37</v>
      </c>
      <c r="C16" s="7">
        <v>10.03</v>
      </c>
      <c r="D16" s="7">
        <v>12.6</v>
      </c>
      <c r="E16" s="7">
        <v>10.62</v>
      </c>
    </row>
    <row r="17">
      <c r="A17" s="6">
        <v>14.0</v>
      </c>
      <c r="B17" s="7">
        <v>10.08</v>
      </c>
      <c r="C17" s="7">
        <v>10.45</v>
      </c>
      <c r="D17" s="7">
        <v>12.26</v>
      </c>
      <c r="E17" s="7">
        <v>10.27</v>
      </c>
    </row>
    <row r="18">
      <c r="A18" s="6">
        <v>15.0</v>
      </c>
      <c r="B18" s="7">
        <v>10.46</v>
      </c>
      <c r="C18" s="7">
        <v>10.68</v>
      </c>
      <c r="D18" s="7">
        <v>12.19</v>
      </c>
      <c r="E18" s="7">
        <v>10.25</v>
      </c>
    </row>
    <row r="19">
      <c r="A19" s="3" t="s">
        <v>22</v>
      </c>
    </row>
    <row r="20">
      <c r="A20" s="3" t="s">
        <v>23</v>
      </c>
      <c r="B20" s="9">
        <f t="shared" ref="B20:E20" si="1">AVERAGE(B4:B18)</f>
        <v>10.536</v>
      </c>
      <c r="C20" s="9">
        <f t="shared" si="1"/>
        <v>10.43733333</v>
      </c>
      <c r="D20" s="9">
        <f t="shared" si="1"/>
        <v>12.584</v>
      </c>
      <c r="E20" s="9">
        <f t="shared" si="1"/>
        <v>10.27933333</v>
      </c>
    </row>
    <row r="21" ht="15.75" customHeight="1">
      <c r="A21" s="3" t="s">
        <v>24</v>
      </c>
      <c r="B21" s="9">
        <f t="shared" ref="B21:E21" si="2">MEDIAN(B4:B18)</f>
        <v>10.52</v>
      </c>
      <c r="C21" s="9">
        <f t="shared" si="2"/>
        <v>10.45</v>
      </c>
      <c r="D21" s="9">
        <f t="shared" si="2"/>
        <v>12.52</v>
      </c>
      <c r="E21" s="9">
        <f t="shared" si="2"/>
        <v>10.42</v>
      </c>
    </row>
    <row r="22" ht="15.75" customHeight="1">
      <c r="A22" s="3" t="s">
        <v>25</v>
      </c>
      <c r="B22" s="9">
        <f t="shared" ref="B22:E22" si="3">STDEV(B4:B18)</f>
        <v>0.3463647953</v>
      </c>
      <c r="C22" s="9">
        <f t="shared" si="3"/>
        <v>0.3760407779</v>
      </c>
      <c r="D22" s="9">
        <f t="shared" si="3"/>
        <v>0.4025419233</v>
      </c>
      <c r="E22" s="9">
        <f t="shared" si="3"/>
        <v>0.4082972773</v>
      </c>
    </row>
    <row r="23" ht="15.75" customHeight="1">
      <c r="A23" s="3" t="s">
        <v>26</v>
      </c>
      <c r="B23" s="9">
        <f t="shared" ref="B23:E23" si="4">MIN(B4:B18)</f>
        <v>9.98</v>
      </c>
      <c r="C23" s="9">
        <f t="shared" si="4"/>
        <v>9.69</v>
      </c>
      <c r="D23" s="9">
        <f t="shared" si="4"/>
        <v>11.98</v>
      </c>
      <c r="E23" s="9">
        <f t="shared" si="4"/>
        <v>9.39</v>
      </c>
    </row>
    <row r="24" ht="15.75" customHeight="1">
      <c r="A24" s="3" t="s">
        <v>27</v>
      </c>
      <c r="B24" s="9">
        <f t="shared" ref="B24:E24" si="5">MAX(B4:B18)</f>
        <v>11.11</v>
      </c>
      <c r="C24" s="9">
        <f t="shared" si="5"/>
        <v>11.04</v>
      </c>
      <c r="D24" s="9">
        <f t="shared" si="5"/>
        <v>13.39</v>
      </c>
      <c r="E24" s="9">
        <f t="shared" si="5"/>
        <v>10.89</v>
      </c>
    </row>
    <row r="25" ht="15.75" customHeight="1">
      <c r="A25" s="3" t="s">
        <v>28</v>
      </c>
      <c r="B25" s="9">
        <f t="shared" ref="B25:E25" si="6">QUARTILE(B4:B18,1)</f>
        <v>10.34</v>
      </c>
      <c r="C25" s="9">
        <f t="shared" si="6"/>
        <v>10.17</v>
      </c>
      <c r="D25" s="9">
        <f t="shared" si="6"/>
        <v>12.27</v>
      </c>
      <c r="E25" s="9">
        <f t="shared" si="6"/>
        <v>10.125</v>
      </c>
    </row>
    <row r="26" ht="15.75" customHeight="1">
      <c r="A26" s="3" t="s">
        <v>29</v>
      </c>
      <c r="B26" s="9">
        <f t="shared" ref="B26:E26" si="7">QUARTILE(B4:B18,3)</f>
        <v>10.755</v>
      </c>
      <c r="C26" s="9">
        <f t="shared" si="7"/>
        <v>10.735</v>
      </c>
      <c r="D26" s="9">
        <f t="shared" si="7"/>
        <v>12.77</v>
      </c>
      <c r="E26" s="9">
        <f t="shared" si="7"/>
        <v>10.525</v>
      </c>
    </row>
    <row r="27" ht="15.75" customHeight="1">
      <c r="A27" s="3" t="s">
        <v>30</v>
      </c>
      <c r="B27" s="9">
        <f t="shared" ref="B27:E27" si="8">QUARTILE(B4:B18,3)-QUARTILE(B4:B18,1)</f>
        <v>0.415</v>
      </c>
      <c r="C27" s="9">
        <f t="shared" si="8"/>
        <v>0.565</v>
      </c>
      <c r="D27" s="9">
        <f t="shared" si="8"/>
        <v>0.5</v>
      </c>
      <c r="E27" s="9">
        <f t="shared" si="8"/>
        <v>0.4</v>
      </c>
    </row>
    <row r="28" ht="15.75" customHeight="1"/>
    <row r="29" ht="15.75" customHeight="1">
      <c r="A29" s="4" t="s">
        <v>31</v>
      </c>
    </row>
    <row r="30" ht="15.75" customHeight="1">
      <c r="A30" s="4" t="s">
        <v>32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