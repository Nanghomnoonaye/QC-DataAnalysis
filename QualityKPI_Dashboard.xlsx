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Dashboard" sheetId="2" r:id="rId6"/>
  </sheets>
  <definedNames/>
  <calcPr/>
</workbook>
</file>

<file path=xl/sharedStrings.xml><?xml version="1.0" encoding="utf-8"?>
<sst xmlns="http://schemas.openxmlformats.org/spreadsheetml/2006/main" count="28" uniqueCount="28">
  <si>
    <t>Month</t>
  </si>
  <si>
    <t>Units Shipped</t>
  </si>
  <si>
    <t>Defects (PPM)</t>
  </si>
  <si>
    <t>On-Time Delivery %</t>
  </si>
  <si>
    <t>First Pass Yield %</t>
  </si>
  <si>
    <t>Customer Complaints</t>
  </si>
  <si>
    <t>CAPA Opened</t>
  </si>
  <si>
    <t>CAPA Closed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</si>
  <si>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</si>
  <si>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</si>
  <si>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</si>
  <si>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</si>
  <si>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</si>
  <si>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</si>
  <si>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</si>
  <si>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</si>
  <si>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</si>
  <si>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</si>
  <si>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</si>
  <si>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</si>
  <si>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Sample / illustrative data — created to demonstrate KPI dashboarding and data-analysis skills.</t>
  </si>
  <si>
    <t>Quality &amp; Project KPI Dashboard</t>
  </si>
  <si>
    <t>Monthly quality and delivery performance — sample project</t>
  </si>
  <si>
    <t>Avg On-Time Delivery</t>
  </si>
  <si>
    <t>Avg First Pass Yield</t>
  </si>
  <si>
    <t>Avg Defects (PPM)</t>
  </si>
  <si>
    <t>Total Complaints</t>
  </si>
  <si>
    <t>CAPA Closure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</si>
</sst>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&quot;%&quot;"/>
    <numFmt numFmtId="165" formatCode="0.0%"/>
  </numFmts>
  <fonts count="8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i/>
      <sz val="9.0"/>
      <color rgb="FF808080"/>
      <name val="Arial"/>
    </font>
    <font>
      <b/>
      <sz val="16.0"/>
      <color rgb="FF1F3864"/>
      <name val="Arial"/>
    </font>
    <font>
      <i/>
      <sz val="10.0"/>
      <color rgb="FF808080"/>
      <name val="Arial"/>
    </font>
    <font>
      <b/>
      <sz val="9.0"/>
      <color rgb="FFFFFFFF"/>
      <name val="Arial"/>
    </font>
    <font>
      <b/>
      <sz val="14.0"/>
      <color rgb="FF1F3864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CE6F1"/>
        <bgColor rgb="FFDCE6F1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ont="1">
      <alignment horizontal="center" vertical="center"/>
    </xf>
    <xf borderId="1" fillId="3" fontId="7" numFmtId="164" xfId="0" applyAlignment="1" applyBorder="1" applyFill="1" applyFont="1" applyNumberFormat="1">
      <alignment horizontal="center" vertical="center"/>
    </xf>
    <xf borderId="1" fillId="3" fontId="7" numFmtId="3" xfId="0" applyAlignment="1" applyBorder="1" applyFont="1" applyNumberFormat="1">
      <alignment horizontal="center" vertical="center"/>
    </xf>
    <xf borderId="1" fillId="3" fontId="7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On-Time Delivery % &amp; First Pass Yield %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Data!$D$1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Data!$A$2:$A$13</c:f>
            </c:strRef>
          </c:cat>
          <c:val>
            <c:numRef>
              <c:f>Data!$D$2:$D$13</c:f>
              <c:numCache/>
            </c:numRef>
          </c:val>
          <c:smooth val="0"/>
        </c:ser>
        <c:ser>
          <c:idx val="1"/>
          <c:order val="1"/>
          <c:tx>
            <c:strRef>
              <c:f>Data!$E$1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Data!$A$2:$A$13</c:f>
            </c:strRef>
          </c:cat>
          <c:val>
            <c:numRef>
              <c:f>Data!$E$2:$E$13</c:f>
              <c:numCache/>
            </c:numRef>
          </c:val>
          <c:smooth val="0"/>
        </c:ser>
        <c:axId val="1439819305"/>
        <c:axId val="58345951"/>
      </c:lineChart>
      <c:catAx>
        <c:axId val="1439819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45951"/>
      </c:catAx>
      <c:valAx>
        <c:axId val="58345951"/>
        <c:scaling>
          <c:orientation val="minMax"/>
          <c:max val="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8193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Defects (PPM) — trending down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Data!$A$2:$A$13</c:f>
            </c:strRef>
          </c:cat>
          <c:val>
            <c:numRef>
              <c:f>Data!$C$2:$C$13</c:f>
              <c:numCache/>
            </c:numRef>
          </c:val>
        </c:ser>
        <c:axId val="316035784"/>
        <c:axId val="1864262879"/>
      </c:barChart>
      <c:catAx>
        <c:axId val="316035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4262879"/>
      </c:catAx>
      <c:valAx>
        <c:axId val="18642628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0357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CAPA Opened vs Closed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Data!$G$1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Data!$A$2:$A$13</c:f>
            </c:strRef>
          </c:cat>
          <c:val>
            <c:numRef>
              <c:f>Data!$G$2:$G$13</c:f>
              <c:numCache/>
            </c:numRef>
          </c:val>
        </c:ser>
        <c:ser>
          <c:idx val="1"/>
          <c:order val="1"/>
          <c:tx>
            <c:strRef>
              <c:f>Data!$H$1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Data!$A$2:$A$13</c:f>
            </c:strRef>
          </c:cat>
          <c:val>
            <c:numRef>
              <c:f>Data!$H$2:$H$13</c:f>
              <c:numCache/>
            </c:numRef>
          </c:val>
        </c:ser>
        <c:axId val="499289213"/>
        <c:axId val="975956470"/>
      </c:barChart>
      <c:catAx>
        <c:axId val="4992892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5956470"/>
      </c:catAx>
      <c:valAx>
        <c:axId val="975956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92892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Customer Complaints per Month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Data!$F$1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Data!$A$2:$A$13</c:f>
            </c:strRef>
          </c:cat>
          <c:val>
            <c:numRef>
              <c:f>Data!$F$2:$F$13</c:f>
              <c:numCache/>
            </c:numRef>
          </c:val>
        </c:ser>
        <c:axId val="1369197888"/>
        <c:axId val="284876247"/>
      </c:barChart>
      <c:catAx>
        <c:axId val="1369197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4876247"/>
      </c:catAx>
      <c:valAx>
        <c:axId val="2848762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91978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391150" cy="2514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22</xdr:row>
      <xdr:rowOff>0</xdr:rowOff>
    </xdr:from>
    <xdr:ext cx="5391150" cy="25146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22</xdr:row>
      <xdr:rowOff>0</xdr:rowOff>
    </xdr:from>
    <xdr:ext cx="5391150" cy="25146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0</xdr:colOff>
      <xdr:row>7</xdr:row>
      <xdr:rowOff>0</xdr:rowOff>
    </xdr:from>
    <xdr:ext cx="5391150" cy="251460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5.0"/>
    <col customWidth="1" min="4" max="6" width="20.0"/>
    <col customWidth="1" min="7" max="8" width="15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12000.0</v>
      </c>
      <c r="C2" s="2">
        <v>850.0</v>
      </c>
      <c r="D2" s="2">
        <v>94.0</v>
      </c>
      <c r="E2" s="2">
        <v>96.2</v>
      </c>
      <c r="F2" s="2">
        <v>5.0</v>
      </c>
      <c r="G2" s="2">
        <v>4.0</v>
      </c>
      <c r="H2" s="2">
        <v>3.0</v>
      </c>
    </row>
    <row r="3">
      <c r="A3" s="2" t="s">
        <v>9</v>
      </c>
      <c r="B3" s="2">
        <v>12800.0</v>
      </c>
      <c r="C3" s="2">
        <v>780.0</v>
      </c>
      <c r="D3" s="2">
        <v>94.8</v>
      </c>
      <c r="E3" s="2">
        <v>96.5</v>
      </c>
      <c r="F3" s="2">
        <v>4.0</v>
      </c>
      <c r="G3" s="2">
        <v>3.0</v>
      </c>
      <c r="H3" s="2">
        <v>3.0</v>
      </c>
    </row>
    <row r="4">
      <c r="A4" s="2" t="s">
        <v>10</v>
      </c>
      <c r="B4" s="2">
        <v>13500.0</v>
      </c>
      <c r="C4" s="2">
        <v>690.0</v>
      </c>
      <c r="D4" s="2">
        <v>95.5</v>
      </c>
      <c r="E4" s="2">
        <v>97.0</v>
      </c>
      <c r="F4" s="2">
        <v>3.0</v>
      </c>
      <c r="G4" s="2">
        <v>5.0</v>
      </c>
      <c r="H4" s="2">
        <v>4.0</v>
      </c>
    </row>
    <row r="5">
      <c r="A5" s="2" t="s">
        <v>11</v>
      </c>
      <c r="B5" s="2">
        <v>14100.0</v>
      </c>
      <c r="C5" s="2">
        <v>640.0</v>
      </c>
      <c r="D5" s="2">
        <v>96.1</v>
      </c>
      <c r="E5" s="2">
        <v>97.3</v>
      </c>
      <c r="F5" s="2">
        <v>4.0</v>
      </c>
      <c r="G5" s="2">
        <v>2.0</v>
      </c>
      <c r="H5" s="2">
        <v>3.0</v>
      </c>
    </row>
    <row r="6">
      <c r="A6" s="2" t="s">
        <v>12</v>
      </c>
      <c r="B6" s="2">
        <v>13800.0</v>
      </c>
      <c r="C6" s="2">
        <v>600.0</v>
      </c>
      <c r="D6" s="2">
        <v>96.4</v>
      </c>
      <c r="E6" s="2">
        <v>97.6</v>
      </c>
      <c r="F6" s="2">
        <v>2.0</v>
      </c>
      <c r="G6" s="2">
        <v>3.0</v>
      </c>
      <c r="H6" s="2">
        <v>3.0</v>
      </c>
    </row>
    <row r="7">
      <c r="A7" s="2" t="s">
        <v>13</v>
      </c>
      <c r="B7" s="2">
        <v>14600.0</v>
      </c>
      <c r="C7" s="2">
        <v>560.0</v>
      </c>
      <c r="D7" s="2">
        <v>96.9</v>
      </c>
      <c r="E7" s="2">
        <v>97.9</v>
      </c>
      <c r="F7" s="2">
        <v>3.0</v>
      </c>
      <c r="G7" s="2">
        <v>4.0</v>
      </c>
      <c r="H7" s="2">
        <v>4.0</v>
      </c>
    </row>
    <row r="8">
      <c r="A8" s="2" t="s">
        <v>14</v>
      </c>
      <c r="B8" s="2">
        <v>15200.0</v>
      </c>
      <c r="C8" s="2">
        <v>520.0</v>
      </c>
      <c r="D8" s="2">
        <v>97.2</v>
      </c>
      <c r="E8" s="2">
        <v>98.1</v>
      </c>
      <c r="F8" s="2">
        <v>2.0</v>
      </c>
      <c r="G8" s="2">
        <v>2.0</v>
      </c>
      <c r="H8" s="2">
        <v>2.0</v>
      </c>
    </row>
    <row r="9">
      <c r="A9" s="2" t="s">
        <v>15</v>
      </c>
      <c r="B9" s="2">
        <v>15000.0</v>
      </c>
      <c r="C9" s="2">
        <v>540.0</v>
      </c>
      <c r="D9" s="2">
        <v>97.0</v>
      </c>
      <c r="E9" s="2">
        <v>98.0</v>
      </c>
      <c r="F9" s="2">
        <v>3.0</v>
      </c>
      <c r="G9" s="2">
        <v>3.0</v>
      </c>
      <c r="H9" s="2">
        <v>3.0</v>
      </c>
    </row>
    <row r="10">
      <c r="A10" s="2" t="s">
        <v>16</v>
      </c>
      <c r="B10" s="2">
        <v>15800.0</v>
      </c>
      <c r="C10" s="2">
        <v>480.0</v>
      </c>
      <c r="D10" s="2">
        <v>97.6</v>
      </c>
      <c r="E10" s="2">
        <v>98.3</v>
      </c>
      <c r="F10" s="2">
        <v>1.0</v>
      </c>
      <c r="G10" s="2">
        <v>2.0</v>
      </c>
      <c r="H10" s="2">
        <v>2.0</v>
      </c>
    </row>
    <row r="11">
      <c r="A11" s="2" t="s">
        <v>17</v>
      </c>
      <c r="B11" s="2">
        <v>16200.0</v>
      </c>
      <c r="C11" s="2">
        <v>450.0</v>
      </c>
      <c r="D11" s="2">
        <v>97.9</v>
      </c>
      <c r="E11" s="2">
        <v>98.5</v>
      </c>
      <c r="F11" s="2">
        <v>2.0</v>
      </c>
      <c r="G11" s="2">
        <v>3.0</v>
      </c>
      <c r="H11" s="2">
        <v>3.0</v>
      </c>
    </row>
    <row r="12">
      <c r="A12" s="2" t="s">
        <v>18</v>
      </c>
      <c r="B12" s="2">
        <v>16500.0</v>
      </c>
      <c r="C12" s="2">
        <v>430.0</v>
      </c>
      <c r="D12" s="2">
        <v>98.1</v>
      </c>
      <c r="E12" s="2">
        <v>98.6</v>
      </c>
      <c r="F12" s="2">
        <v>1.0</v>
      </c>
      <c r="G12" s="2">
        <v>1.0</v>
      </c>
      <c r="H12" s="2">
        <v>1.0</v>
      </c>
    </row>
    <row r="13">
      <c r="A13" s="2" t="s">
        <v>19</v>
      </c>
      <c r="B13" s="2">
        <v>17000.0</v>
      </c>
      <c r="C13" s="2">
        <v>400.0</v>
      </c>
      <c r="D13" s="2">
        <v>98.4</v>
      </c>
      <c r="E13" s="2">
        <v>98.8</v>
      </c>
      <c r="F13" s="2">
        <v>1.0</v>
      </c>
      <c r="G13" s="2">
        <v>2.0</v>
      </c>
      <c r="H13" s="2">
        <v>2.0</v>
      </c>
    </row>
    <row r="15">
      <c r="A15" s="3" t="s">
        <v>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>
      <c r="A1" s="4" t="s">
        <v>21</v>
      </c>
    </row>
    <row r="2">
      <c r="A2" s="5" t="s">
        <v>22</v>
      </c>
    </row>
    <row r="4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</row>
    <row r="5">
      <c r="A5" s="7">
        <f>AVERAGE(Data!D2:D13)</f>
        <v>96.65833333</v>
      </c>
      <c r="B5" s="7">
        <f>AVERAGE(Data!E2:E13)</f>
        <v>97.73333333</v>
      </c>
      <c r="C5" s="8">
        <f>AVERAGE(Data!C2:C13)</f>
        <v>578.3333333</v>
      </c>
      <c r="D5" s="8">
        <f>SUM(Data!F2:F13)</f>
        <v>31</v>
      </c>
      <c r="E5" s="9">
        <f>SUM(Data!H2:H13)/SUM(Data!G2:G13)</f>
        <v>0.9705882353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